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66925"/>
  <mc:AlternateContent xmlns:mc="http://schemas.openxmlformats.org/markup-compatibility/2006">
    <mc:Choice Requires="x15">
      <x15ac:absPath xmlns:x15ac="http://schemas.microsoft.com/office/spreadsheetml/2010/11/ac" url="D:\User\TAO\Desktop\"/>
    </mc:Choice>
  </mc:AlternateContent>
  <xr:revisionPtr revIDLastSave="0" documentId="13_ncr:1_{7B47F0E2-030D-411B-82FE-60F6AC27FACD}" xr6:coauthVersionLast="47" xr6:coauthVersionMax="47" xr10:uidLastSave="{00000000-0000-0000-0000-000000000000}"/>
  <bookViews>
    <workbookView xWindow="-108" yWindow="-108" windowWidth="23256" windowHeight="13896" tabRatio="738" xr2:uid="{CCFD366D-5BBB-4D68-9163-96B5E60037D2}"/>
  </bookViews>
  <sheets>
    <sheet name="TIME SHEET" sheetId="4" r:id="rId1"/>
    <sheet name="TIME REPORT" sheetId="10" r:id="rId2"/>
    <sheet name="TIME REPORT O.T." sheetId="11" r:id="rId3"/>
    <sheet name="HOLIDAYS" sheetId="12" r:id="rId4"/>
  </sheets>
  <externalReferences>
    <externalReference r:id="rId5"/>
  </externalReferences>
  <definedNames>
    <definedName name="ClientCodeList">OFFSET(HOLIDAYS!$H$12,0,0,COUNTA(HOLIDAYS!$H$12:$H$500),1)</definedName>
    <definedName name="ClientNameList">OFFSET(HOLIDAYS!$H$3,0,0,COUNTA(HOLIDAYS!$H$3:$H$200),1)</definedName>
    <definedName name="COM" localSheetId="1">'[1]TIME SHEET 2.67'!$AY$8:$AY$58</definedName>
    <definedName name="COM" localSheetId="2">'[1]TIME SHEET 2.67'!$AY$8:$AY$58</definedName>
    <definedName name="COM" localSheetId="0">'TIME SHEET'!$AY$8:$AY$60</definedName>
    <definedName name="list" localSheetId="1">'[1]TIME SHEET 2.67'!$AS$8:$AS$19</definedName>
    <definedName name="list" localSheetId="2">'[1]TIME SHEET 2.67'!$AS$8:$AS$19</definedName>
    <definedName name="list" localSheetId="0">'TIME SHEET'!$AS$8:$AS$19</definedName>
    <definedName name="list">'[1]TIME SHEET 1.67'!$AS$8:$AS$19</definedName>
    <definedName name="PER" localSheetId="1">'[1]TIME SHEET 2.67'!$BA$8:$BA$12</definedName>
    <definedName name="PER" localSheetId="2">'[1]TIME SHEET 2.67'!$BA$8:$BA$12</definedName>
    <definedName name="PER" localSheetId="0">'TIME SHEET'!$BA$8:$BA$10</definedName>
    <definedName name="PER">'[1]TIME SHEET 1.67'!$BA$8:$BA$12</definedName>
    <definedName name="PeriodList">OFFSET(HOLIDAYS!$I$3,0,0,COUNTA(HOLIDAYS!$I$3:$I$200),1)</definedName>
    <definedName name="_xlnm.Print_Area" localSheetId="1">'TIME REPORT'!$A$1:$P$39</definedName>
    <definedName name="_xlnm.Print_Area" localSheetId="2">'TIME REPORT O.T.'!$A$1:$P$33</definedName>
    <definedName name="_xlnm.Print_Area" localSheetId="0">'TIME SHEET'!$A$1:$AL$33</definedName>
    <definedName name="_xlnm.Print_Titles" localSheetId="1">'TIME REPORT'!$1:$5</definedName>
    <definedName name="_xlnm.Print_Titles" localSheetId="2">'TIME REPORT O.T.'!$1:$5</definedName>
    <definedName name="YEAR" localSheetId="1">'[1]TIME SHEET 2.67'!$AU$8:$AU$12</definedName>
    <definedName name="YEAR" localSheetId="2">'[1]TIME SHEET 2.67'!$AU$8:$AU$12</definedName>
    <definedName name="YEAR" localSheetId="0">'TIME SHEET'!$AU$8:$AU$13</definedName>
    <definedName name="YEAR">'[1]TIME SHEET 1.67'!$AU$8:$AU$12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6" i="10" l="1"/>
  <c r="P7" i="10"/>
  <c r="P8" i="10"/>
  <c r="P9" i="10"/>
  <c r="P10" i="10"/>
  <c r="P11" i="10"/>
  <c r="P12" i="10"/>
  <c r="P13" i="10"/>
  <c r="P14" i="10"/>
  <c r="P15" i="10"/>
  <c r="P16" i="10"/>
  <c r="P17" i="10"/>
  <c r="P18" i="10"/>
  <c r="P19" i="10"/>
  <c r="P20" i="10"/>
  <c r="P21" i="10"/>
  <c r="P22" i="10"/>
  <c r="P23" i="10"/>
  <c r="P24" i="10"/>
  <c r="P25" i="10"/>
  <c r="P26" i="10"/>
  <c r="P27" i="10"/>
  <c r="P28" i="10"/>
  <c r="P29" i="10"/>
  <c r="P30" i="10"/>
  <c r="P31" i="10"/>
  <c r="P32" i="10"/>
  <c r="P33" i="10"/>
  <c r="P34" i="10"/>
  <c r="P35" i="10"/>
  <c r="P36" i="10"/>
  <c r="P37" i="10"/>
  <c r="P38" i="10"/>
  <c r="N6" i="10"/>
  <c r="N7" i="10"/>
  <c r="N8" i="10"/>
  <c r="N9" i="10"/>
  <c r="N10" i="10"/>
  <c r="N11" i="10"/>
  <c r="N12" i="10"/>
  <c r="N13" i="10"/>
  <c r="N14" i="10"/>
  <c r="N15" i="10"/>
  <c r="N16" i="10"/>
  <c r="N17" i="10"/>
  <c r="N18" i="10"/>
  <c r="N19" i="10"/>
  <c r="N20" i="10"/>
  <c r="N21" i="10"/>
  <c r="N22" i="10"/>
  <c r="N23" i="10"/>
  <c r="N24" i="10"/>
  <c r="N25" i="10"/>
  <c r="N26" i="10"/>
  <c r="N27" i="10"/>
  <c r="N28" i="10"/>
  <c r="N29" i="10"/>
  <c r="N30" i="10"/>
  <c r="N31" i="10"/>
  <c r="N32" i="10"/>
  <c r="N33" i="10"/>
  <c r="N34" i="10"/>
  <c r="N35" i="10"/>
  <c r="N36" i="10"/>
  <c r="N37" i="10"/>
  <c r="N38" i="10"/>
  <c r="P18" i="11" a="1"/>
  <c r="P19" i="11" a="1"/>
  <c r="P20" i="11" a="1"/>
  <c r="P21" i="11" a="1"/>
  <c r="P22" i="11" a="1"/>
  <c r="P23" i="11" a="1"/>
  <c r="P24" i="11" a="1"/>
  <c r="P25" i="11" a="1"/>
  <c r="P26" i="11" a="1"/>
  <c r="P27" i="11" a="1"/>
  <c r="P28" i="11" a="1"/>
  <c r="P29" i="11" a="1"/>
  <c r="P30" i="11" a="1"/>
  <c r="P31" i="11" a="1"/>
  <c r="P32" i="11" a="1"/>
  <c r="N18" i="11" a="1"/>
  <c r="N19" i="11" a="1"/>
  <c r="N20" i="11" a="1"/>
  <c r="N21" i="11" a="1"/>
  <c r="N22" i="11" a="1"/>
  <c r="N23" i="11" a="1"/>
  <c r="N24" i="11" a="1"/>
  <c r="N25" i="11" a="1"/>
  <c r="N26" i="11" a="1"/>
  <c r="N27" i="11" a="1"/>
  <c r="N28" i="11" a="1"/>
  <c r="N29" i="11" a="1"/>
  <c r="N30" i="11" a="1"/>
  <c r="N31" i="11" a="1"/>
  <c r="N32" i="11" a="1"/>
  <c r="Q6" i="11" a="1"/>
  <c r="Q7" i="11" a="1"/>
  <c r="Q8" i="11" a="1"/>
  <c r="Q9" i="11" a="1"/>
  <c r="Q10" i="11" a="1"/>
  <c r="Q11" i="11" a="1"/>
  <c r="Q12" i="11" a="1"/>
  <c r="Q13" i="11" a="1"/>
  <c r="Q14" i="11" a="1"/>
  <c r="Q15" i="11" a="1"/>
  <c r="Q16" i="11" a="1"/>
  <c r="Q17" i="11" a="1"/>
  <c r="Q18" i="11" a="1"/>
  <c r="Q19" i="11" a="1"/>
  <c r="Q20" i="11" a="1"/>
  <c r="Q21" i="11" a="1"/>
  <c r="Q22" i="11" a="1"/>
  <c r="Q23" i="11" a="1"/>
  <c r="Q24" i="11" a="1"/>
  <c r="Q25" i="11" a="1"/>
  <c r="Q26" i="11" a="1"/>
  <c r="Q27" i="11" a="1"/>
  <c r="Q28" i="11" a="1"/>
  <c r="Q29" i="11" a="1"/>
  <c r="Q30" i="11" a="1"/>
  <c r="Q31" i="11" a="1"/>
  <c r="Q32" i="11" a="1"/>
  <c r="I6" i="11" a="1"/>
  <c r="I7" i="11" a="1"/>
  <c r="I8" i="11" a="1"/>
  <c r="I9" i="11" a="1"/>
  <c r="I10" i="11" a="1"/>
  <c r="I11" i="11" a="1"/>
  <c r="I12" i="11" a="1"/>
  <c r="I13" i="11" a="1"/>
  <c r="I14" i="11" a="1"/>
  <c r="I15" i="11" a="1"/>
  <c r="I16" i="11" a="1"/>
  <c r="I17" i="11" a="1"/>
  <c r="I18" i="11" a="1"/>
  <c r="I19" i="11" a="1"/>
  <c r="I20" i="11" a="1"/>
  <c r="I21" i="11" a="1"/>
  <c r="I22" i="11" a="1"/>
  <c r="I23" i="11" a="1"/>
  <c r="I24" i="11" a="1"/>
  <c r="I25" i="11" a="1"/>
  <c r="I26" i="11" a="1"/>
  <c r="I27" i="11" a="1"/>
  <c r="I28" i="11" a="1"/>
  <c r="I29" i="11" a="1"/>
  <c r="I30" i="11" a="1"/>
  <c r="I31" i="11" a="1"/>
  <c r="I32" i="11" a="1"/>
  <c r="H6" i="11" a="1"/>
  <c r="H7" i="11" a="1"/>
  <c r="H8" i="11" a="1"/>
  <c r="H9" i="11" a="1"/>
  <c r="H10" i="11" a="1"/>
  <c r="H11" i="11" a="1"/>
  <c r="H12" i="11" a="1"/>
  <c r="H13" i="11" a="1"/>
  <c r="H14" i="11" a="1"/>
  <c r="H15" i="11" a="1"/>
  <c r="H16" i="11" a="1"/>
  <c r="H17" i="11" a="1"/>
  <c r="H18" i="11" a="1"/>
  <c r="H19" i="11" a="1"/>
  <c r="H20" i="11" a="1"/>
  <c r="H21" i="11" a="1"/>
  <c r="H22" i="11" a="1"/>
  <c r="H23" i="11" a="1"/>
  <c r="H24" i="11" a="1"/>
  <c r="H25" i="11" a="1"/>
  <c r="H26" i="11" a="1"/>
  <c r="H27" i="11" a="1"/>
  <c r="H28" i="11" a="1"/>
  <c r="H29" i="11" a="1"/>
  <c r="H30" i="11" a="1"/>
  <c r="H31" i="11" a="1"/>
  <c r="H32" i="11" a="1"/>
  <c r="E6" i="11" a="1"/>
  <c r="E7" i="11" a="1"/>
  <c r="E8" i="11" a="1"/>
  <c r="E9" i="11" a="1"/>
  <c r="E10" i="11" a="1"/>
  <c r="E11" i="11" a="1"/>
  <c r="E12" i="11" a="1"/>
  <c r="E13" i="11" a="1"/>
  <c r="E14" i="11" a="1"/>
  <c r="E15" i="11" a="1"/>
  <c r="E16" i="11" a="1"/>
  <c r="E17" i="11" a="1"/>
  <c r="E18" i="11" a="1"/>
  <c r="E19" i="11" a="1"/>
  <c r="E20" i="11" a="1"/>
  <c r="E21" i="11" a="1"/>
  <c r="E22" i="11" a="1"/>
  <c r="E23" i="11" a="1"/>
  <c r="E24" i="11" a="1"/>
  <c r="E25" i="11" a="1"/>
  <c r="E26" i="11" a="1"/>
  <c r="E27" i="11" a="1"/>
  <c r="E28" i="11" a="1"/>
  <c r="E29" i="11" a="1"/>
  <c r="E30" i="11" a="1"/>
  <c r="E31" i="11" a="1"/>
  <c r="E32" i="11" a="1"/>
  <c r="C6" i="11" a="1"/>
  <c r="C7" i="11" a="1"/>
  <c r="C8" i="11" a="1"/>
  <c r="C9" i="11" a="1"/>
  <c r="C10" i="11" a="1"/>
  <c r="C11" i="11" a="1"/>
  <c r="C12" i="11" a="1"/>
  <c r="C13" i="11" a="1"/>
  <c r="C14" i="11" a="1"/>
  <c r="C15" i="11" a="1"/>
  <c r="C16" i="11" a="1"/>
  <c r="C17" i="11" a="1"/>
  <c r="C18" i="11" a="1"/>
  <c r="C19" i="11" a="1"/>
  <c r="C20" i="11" a="1"/>
  <c r="C21" i="11" a="1"/>
  <c r="C22" i="11" a="1"/>
  <c r="C23" i="11" a="1"/>
  <c r="C24" i="11" a="1"/>
  <c r="C25" i="11" a="1"/>
  <c r="C26" i="11" a="1"/>
  <c r="C27" i="11" a="1"/>
  <c r="C28" i="11" a="1"/>
  <c r="C29" i="11" a="1"/>
  <c r="C30" i="11" a="1"/>
  <c r="C31" i="11" a="1"/>
  <c r="C32" i="11" a="1"/>
  <c r="B18" i="11" a="1"/>
  <c r="B19" i="11" a="1"/>
  <c r="B20" i="11" a="1"/>
  <c r="B21" i="11" a="1"/>
  <c r="B22" i="11" a="1"/>
  <c r="B23" i="11" a="1"/>
  <c r="B24" i="11" a="1"/>
  <c r="B25" i="11" a="1"/>
  <c r="B26" i="11" a="1"/>
  <c r="B27" i="11" a="1"/>
  <c r="B28" i="11" a="1"/>
  <c r="B29" i="11" a="1"/>
  <c r="B30" i="11" a="1"/>
  <c r="B31" i="11" a="1"/>
  <c r="B32" i="11" a="1"/>
  <c r="A18" i="11" a="1"/>
  <c r="A19" i="11" a="1"/>
  <c r="A20" i="11" a="1"/>
  <c r="A21" i="11" a="1"/>
  <c r="A22" i="11" a="1"/>
  <c r="A23" i="11" a="1"/>
  <c r="A24" i="11" a="1"/>
  <c r="A25" i="11" a="1"/>
  <c r="A26" i="11" a="1"/>
  <c r="A27" i="11" a="1"/>
  <c r="A28" i="11" a="1"/>
  <c r="A29" i="11" a="1"/>
  <c r="A30" i="11" a="1"/>
  <c r="A31" i="11" a="1"/>
  <c r="A32" i="11" a="1"/>
  <c r="A6" i="10"/>
  <c r="E2" i="12"/>
  <c r="A5" i="12"/>
  <c r="A6" i="12"/>
  <c r="A7" i="12"/>
  <c r="A8" i="12"/>
  <c r="A9" i="12"/>
  <c r="A10" i="12"/>
  <c r="A11" i="12"/>
  <c r="A12" i="12"/>
  <c r="A13" i="12"/>
  <c r="A14" i="12"/>
  <c r="A15" i="12"/>
  <c r="A16" i="12"/>
  <c r="A17" i="12"/>
  <c r="A18" i="12"/>
  <c r="A19" i="12"/>
  <c r="A20" i="12"/>
  <c r="A21" i="12"/>
  <c r="A22" i="12"/>
  <c r="A23" i="12"/>
  <c r="A24" i="12"/>
  <c r="A25" i="12"/>
  <c r="A26" i="12"/>
  <c r="E3" i="12"/>
  <c r="O1" i="11"/>
  <c r="O1" i="10"/>
  <c r="I2" i="11"/>
  <c r="E2" i="11"/>
  <c r="B2" i="11"/>
  <c r="N39" i="10" l="1"/>
  <c r="P39" i="10"/>
  <c r="A7" i="10"/>
  <c r="A8" i="10" l="1"/>
  <c r="I2" i="10"/>
  <c r="E2" i="10"/>
  <c r="B2" i="10"/>
  <c r="A6" i="11" l="1" a="1"/>
  <c r="B6" i="11" a="1"/>
  <c r="P6" i="11" a="1"/>
  <c r="N6" i="11" a="1"/>
  <c r="A9" i="10"/>
  <c r="A10" i="10" l="1"/>
  <c r="A7" i="11" l="1" a="1"/>
  <c r="P7" i="11" a="1"/>
  <c r="N7" i="11" a="1"/>
  <c r="B7" i="11" a="1"/>
  <c r="A11" i="10"/>
  <c r="A12" i="10" l="1"/>
  <c r="A13" i="10" l="1"/>
  <c r="A14" i="10" l="1"/>
  <c r="A15" i="10" l="1"/>
  <c r="A16" i="10" l="1"/>
  <c r="A17" i="10" l="1"/>
  <c r="A18" i="10" l="1"/>
  <c r="A19" i="10" l="1"/>
  <c r="A20" i="10" l="1"/>
  <c r="A21" i="10" l="1"/>
  <c r="A22" i="10" l="1"/>
  <c r="A23" i="10" l="1"/>
  <c r="A24" i="10" l="1"/>
  <c r="A13" i="11" l="1" a="1"/>
  <c r="P13" i="11" a="1"/>
  <c r="B13" i="11" a="1"/>
  <c r="N13" i="11" a="1"/>
  <c r="A25" i="10"/>
  <c r="A14" i="11" l="1" a="1"/>
  <c r="N14" i="11" a="1"/>
  <c r="P14" i="11" a="1"/>
  <c r="B14" i="11" a="1"/>
  <c r="A26" i="10"/>
  <c r="A15" i="11" l="1" a="1"/>
  <c r="P15" i="11" a="1"/>
  <c r="N15" i="11" a="1"/>
  <c r="B15" i="11" a="1"/>
  <c r="A27" i="10"/>
  <c r="A28" i="10" l="1"/>
  <c r="A29" i="10" l="1"/>
  <c r="N8" i="11" l="1" a="1"/>
  <c r="B8" i="11" a="1"/>
  <c r="A8" i="11" a="1"/>
  <c r="P8" i="11" a="1"/>
  <c r="A30" i="10"/>
  <c r="N9" i="11" l="1" a="1"/>
  <c r="B9" i="11" a="1"/>
  <c r="P9" i="11" a="1"/>
  <c r="A9" i="11" a="1"/>
  <c r="A31" i="10"/>
  <c r="A32" i="10" l="1"/>
  <c r="A33" i="10" l="1"/>
  <c r="A10" i="11" l="1" a="1"/>
  <c r="P10" i="11" a="1"/>
  <c r="N10" i="11" a="1"/>
  <c r="B10" i="11" a="1"/>
  <c r="A34" i="10"/>
  <c r="A11" i="11" l="1" a="1"/>
  <c r="N11" i="11" a="1"/>
  <c r="B11" i="11" a="1"/>
  <c r="P11" i="11" a="1"/>
  <c r="A16" i="11" a="1"/>
  <c r="B16" i="11" a="1"/>
  <c r="N16" i="11" a="1"/>
  <c r="P16" i="11" a="1"/>
  <c r="A35" i="10"/>
  <c r="B12" i="11" l="1" a="1"/>
  <c r="A12" i="11" a="1"/>
  <c r="P12" i="11" a="1"/>
  <c r="N12" i="11" a="1"/>
  <c r="A17" i="11" a="1"/>
  <c r="P17" i="11" a="1"/>
  <c r="B17" i="11" a="1"/>
  <c r="N17" i="11" a="1"/>
  <c r="A36" i="10"/>
  <c r="P33" i="11" l="1"/>
  <c r="N33" i="11"/>
  <c r="A37" i="10"/>
  <c r="Y32" i="4" l="1"/>
  <c r="AC31" i="4"/>
  <c r="AH31" i="4"/>
  <c r="AB32" i="4"/>
  <c r="S32" i="4"/>
  <c r="H32" i="4"/>
  <c r="P31" i="4"/>
  <c r="R32" i="4"/>
  <c r="AA31" i="4"/>
  <c r="W32" i="4"/>
  <c r="Q32" i="4"/>
  <c r="AD31" i="4"/>
  <c r="G31" i="4"/>
  <c r="X32" i="4"/>
  <c r="S31" i="4"/>
  <c r="AD32" i="4"/>
  <c r="AI31" i="4"/>
  <c r="G32" i="4"/>
  <c r="P32" i="4"/>
  <c r="AB31" i="4"/>
  <c r="I32" i="4"/>
  <c r="Z31" i="4"/>
  <c r="T32" i="4"/>
  <c r="V32" i="4"/>
  <c r="AK31" i="4"/>
  <c r="J31" i="4"/>
  <c r="R31" i="4"/>
  <c r="AK32" i="4"/>
  <c r="AH32" i="4"/>
  <c r="AF32" i="4"/>
  <c r="AE32" i="4"/>
  <c r="AG32" i="4"/>
  <c r="L31" i="4"/>
  <c r="N32" i="4"/>
  <c r="O32" i="4"/>
  <c r="U32" i="4"/>
  <c r="T31" i="4"/>
  <c r="H31" i="4"/>
  <c r="Q31" i="4"/>
  <c r="AA32" i="4"/>
  <c r="V31" i="4"/>
  <c r="O31" i="4"/>
  <c r="N31" i="4"/>
  <c r="K32" i="4"/>
  <c r="W31" i="4"/>
  <c r="AI32" i="4"/>
  <c r="AJ32" i="4"/>
  <c r="AG31" i="4"/>
  <c r="AE31" i="4"/>
  <c r="J32" i="4"/>
  <c r="M32" i="4"/>
  <c r="AF31" i="4"/>
  <c r="Z32" i="4"/>
  <c r="Y31" i="4"/>
  <c r="M31" i="4"/>
  <c r="X31" i="4"/>
  <c r="U31" i="4"/>
  <c r="I31" i="4"/>
  <c r="AC32" i="4"/>
  <c r="K31" i="4"/>
  <c r="AJ31" i="4"/>
  <c r="L32" i="4"/>
  <c r="T25" i="4"/>
  <c r="AD28" i="4"/>
  <c r="O27" i="4"/>
  <c r="AH24" i="4"/>
  <c r="U27" i="4"/>
  <c r="AG24" i="4"/>
  <c r="AF26" i="4"/>
  <c r="U25" i="4"/>
  <c r="T29" i="4"/>
  <c r="S26" i="4"/>
  <c r="O26" i="4"/>
  <c r="AC26" i="4"/>
  <c r="AC28" i="4"/>
  <c r="AD29" i="4"/>
  <c r="AF27" i="4"/>
  <c r="AE28" i="4"/>
  <c r="AH28" i="4"/>
  <c r="W24" i="4"/>
  <c r="AD26" i="4"/>
  <c r="AB26" i="4"/>
  <c r="AH29" i="4"/>
  <c r="T26" i="4"/>
  <c r="T27" i="4"/>
  <c r="S24" i="4"/>
  <c r="U26" i="4"/>
  <c r="U29" i="4"/>
  <c r="U28" i="4"/>
  <c r="S27" i="4"/>
  <c r="S28" i="4"/>
  <c r="O29" i="4"/>
  <c r="O25" i="4"/>
  <c r="M24" i="4"/>
  <c r="M27" i="4"/>
  <c r="L24" i="4"/>
  <c r="K26" i="4"/>
  <c r="X24" i="4"/>
  <c r="L25" i="4"/>
  <c r="AJ28" i="4"/>
  <c r="K25" i="4"/>
  <c r="G29" i="4"/>
  <c r="H24" i="4"/>
  <c r="K27" i="4"/>
  <c r="V26" i="4"/>
  <c r="AF28" i="4"/>
  <c r="V25" i="4"/>
  <c r="AH26" i="4"/>
  <c r="I24" i="4"/>
  <c r="J29" i="4"/>
  <c r="J27" i="4"/>
  <c r="AE29" i="4"/>
  <c r="J28" i="4"/>
  <c r="I27" i="4"/>
  <c r="V24" i="4"/>
  <c r="V28" i="4"/>
  <c r="W25" i="4"/>
  <c r="AK25" i="4"/>
  <c r="AI29" i="4"/>
  <c r="AI27" i="4"/>
  <c r="J26" i="4"/>
  <c r="H25" i="4"/>
  <c r="AJ26" i="4"/>
  <c r="V29" i="4"/>
  <c r="W28" i="4"/>
  <c r="AA26" i="4"/>
  <c r="AK28" i="4"/>
  <c r="AI26" i="4"/>
  <c r="AI28" i="4"/>
  <c r="R26" i="4"/>
  <c r="R27" i="4"/>
  <c r="Q25" i="4"/>
  <c r="R24" i="4"/>
  <c r="W29" i="4"/>
  <c r="Y29" i="4"/>
  <c r="Z28" i="4"/>
  <c r="Y27" i="4"/>
  <c r="Y28" i="4"/>
  <c r="Y25" i="4"/>
  <c r="Y24" i="4"/>
  <c r="W26" i="4"/>
  <c r="W27" i="4"/>
  <c r="Z25" i="4"/>
  <c r="AC27" i="4"/>
  <c r="AF29" i="4"/>
  <c r="AH25" i="4"/>
  <c r="AC29" i="4"/>
  <c r="AC25" i="4"/>
  <c r="V27" i="4"/>
  <c r="AA28" i="4"/>
  <c r="Z29" i="4"/>
  <c r="AB27" i="4"/>
  <c r="AA29" i="4"/>
  <c r="AA24" i="4"/>
  <c r="AB28" i="4"/>
  <c r="AA25" i="4"/>
  <c r="Z24" i="4"/>
  <c r="AA27" i="4"/>
  <c r="AC24" i="4"/>
  <c r="AB29" i="4"/>
  <c r="AD24" i="4"/>
  <c r="Z26" i="4"/>
  <c r="AK26" i="4"/>
  <c r="AI24" i="4"/>
  <c r="AI25" i="4"/>
  <c r="E37" i="10"/>
  <c r="AK24" i="4"/>
  <c r="T24" i="4"/>
  <c r="AG27" i="4"/>
  <c r="AK27" i="4"/>
  <c r="X29" i="4"/>
  <c r="N24" i="4"/>
  <c r="T28" i="4"/>
  <c r="Z27" i="4"/>
  <c r="M25" i="4"/>
  <c r="Y26" i="4"/>
  <c r="J24" i="4"/>
  <c r="N26" i="4"/>
  <c r="H29" i="4"/>
  <c r="AJ29" i="4"/>
  <c r="AJ25" i="4"/>
  <c r="AJ27" i="4"/>
  <c r="AJ24" i="4"/>
  <c r="AE25" i="4"/>
  <c r="S29" i="4"/>
  <c r="S25" i="4"/>
  <c r="Q28" i="4"/>
  <c r="Q27" i="4"/>
  <c r="Q26" i="4"/>
  <c r="R28" i="4"/>
  <c r="R25" i="4"/>
  <c r="R29" i="4"/>
  <c r="Q29" i="4"/>
  <c r="P27" i="4"/>
  <c r="P26" i="4"/>
  <c r="O24" i="4"/>
  <c r="O28" i="4"/>
  <c r="M28" i="4"/>
  <c r="N29" i="4"/>
  <c r="M29" i="4"/>
  <c r="N25" i="4"/>
  <c r="N28" i="4"/>
  <c r="AK29" i="4"/>
  <c r="N27" i="4"/>
  <c r="X28" i="4"/>
  <c r="X25" i="4"/>
  <c r="P24" i="4"/>
  <c r="P28" i="4"/>
  <c r="M26" i="4"/>
  <c r="L28" i="4"/>
  <c r="L29" i="4"/>
  <c r="L26" i="4"/>
  <c r="L27" i="4"/>
  <c r="G28" i="4"/>
  <c r="X27" i="4"/>
  <c r="H26" i="4"/>
  <c r="H27" i="4"/>
  <c r="G27" i="4"/>
  <c r="AH27" i="4"/>
  <c r="G25" i="4"/>
  <c r="H28" i="4"/>
  <c r="G26" i="4"/>
  <c r="G24" i="4"/>
  <c r="P29" i="4"/>
  <c r="P25" i="4"/>
  <c r="AB25" i="4"/>
  <c r="AB24" i="4"/>
  <c r="X26" i="4"/>
  <c r="I28" i="4"/>
  <c r="K28" i="4"/>
  <c r="AG28" i="4"/>
  <c r="K24" i="4"/>
  <c r="J25" i="4"/>
  <c r="AG29" i="4"/>
  <c r="I26" i="4"/>
  <c r="I25" i="4"/>
  <c r="K29" i="4"/>
  <c r="AE27" i="4"/>
  <c r="AD25" i="4"/>
  <c r="AF25" i="4"/>
  <c r="AE24" i="4"/>
  <c r="AG25" i="4"/>
  <c r="AG26" i="4"/>
  <c r="AD27" i="4"/>
  <c r="AF24" i="4"/>
  <c r="AE26" i="4"/>
  <c r="Q24" i="4"/>
  <c r="U24" i="4"/>
  <c r="I29" i="4"/>
  <c r="B20" i="4" l="1" a="1"/>
  <c r="B11" i="4" a="1"/>
  <c r="B16" i="4" a="1"/>
  <c r="B15" i="4" a="1"/>
  <c r="B6" i="4" a="1"/>
  <c r="B13" i="4" a="1"/>
  <c r="B14" i="4" a="1"/>
  <c r="B17" i="4" a="1"/>
  <c r="B7" i="4" a="1"/>
  <c r="B18" i="4" a="1"/>
  <c r="B8" i="4" a="1"/>
  <c r="B12" i="4" a="1"/>
  <c r="B21" i="4" a="1"/>
  <c r="B9" i="4" a="1"/>
  <c r="B19" i="4" a="1"/>
  <c r="B10" i="4" a="1"/>
  <c r="AG30" i="4"/>
  <c r="AH30" i="4"/>
  <c r="S30" i="4"/>
  <c r="U30" i="4"/>
  <c r="W30" i="4"/>
  <c r="T30" i="4"/>
  <c r="L30" i="4"/>
  <c r="O30" i="4"/>
  <c r="AL27" i="4"/>
  <c r="G30" i="4"/>
  <c r="AL24" i="4"/>
  <c r="I30" i="4"/>
  <c r="AL31" i="4"/>
  <c r="V30" i="4"/>
  <c r="H30" i="4"/>
  <c r="AA30" i="4"/>
  <c r="AC30" i="4"/>
  <c r="AD30" i="4"/>
  <c r="AI30" i="4"/>
  <c r="AL28" i="4"/>
  <c r="Z30" i="4"/>
  <c r="M30" i="4"/>
  <c r="Y30" i="4"/>
  <c r="J30" i="4"/>
  <c r="N30" i="4"/>
  <c r="AL29" i="4"/>
  <c r="AJ30" i="4"/>
  <c r="R30" i="4"/>
  <c r="X30" i="4"/>
  <c r="P30" i="4"/>
  <c r="AL25" i="4"/>
  <c r="AL26" i="4"/>
  <c r="AL32" i="4"/>
  <c r="AB30" i="4"/>
  <c r="K30" i="4"/>
  <c r="AE30" i="4"/>
  <c r="AF30" i="4"/>
  <c r="Q30" i="4"/>
  <c r="AK30" i="4"/>
  <c r="K20" i="4" l="1"/>
  <c r="AB20" i="4"/>
  <c r="Y20" i="4"/>
  <c r="AA20" i="4"/>
  <c r="AI20" i="4"/>
  <c r="I20" i="4"/>
  <c r="AC20" i="4"/>
  <c r="S20" i="4"/>
  <c r="M20" i="4"/>
  <c r="AK20" i="4"/>
  <c r="Z20" i="4"/>
  <c r="R20" i="4"/>
  <c r="AE20" i="4"/>
  <c r="V20" i="4"/>
  <c r="Q20" i="4"/>
  <c r="W20" i="4"/>
  <c r="D20" i="4" a="1"/>
  <c r="X20" i="4"/>
  <c r="U20" i="4"/>
  <c r="P20" i="4"/>
  <c r="AG20" i="4"/>
  <c r="AH20" i="4"/>
  <c r="H20" i="4"/>
  <c r="L20" i="4"/>
  <c r="AF20" i="4"/>
  <c r="AD20" i="4"/>
  <c r="T20" i="4"/>
  <c r="O20" i="4"/>
  <c r="N20" i="4"/>
  <c r="G20" i="4"/>
  <c r="AJ20" i="4"/>
  <c r="J20" i="4"/>
  <c r="AK13" i="4"/>
  <c r="D13" i="4" a="1"/>
  <c r="Y13" i="4"/>
  <c r="AB13" i="4"/>
  <c r="I13" i="4"/>
  <c r="AI13" i="4"/>
  <c r="Q13" i="4"/>
  <c r="U13" i="4"/>
  <c r="J13" i="4"/>
  <c r="AF13" i="4"/>
  <c r="O13" i="4"/>
  <c r="L13" i="4"/>
  <c r="AD13" i="4"/>
  <c r="AE13" i="4"/>
  <c r="AC13" i="4"/>
  <c r="H13" i="4"/>
  <c r="AJ13" i="4"/>
  <c r="AG13" i="4"/>
  <c r="V13" i="4"/>
  <c r="M13" i="4"/>
  <c r="K13" i="4"/>
  <c r="X13" i="4"/>
  <c r="G13" i="4"/>
  <c r="AH13" i="4"/>
  <c r="T13" i="4"/>
  <c r="R13" i="4"/>
  <c r="W13" i="4"/>
  <c r="P13" i="4"/>
  <c r="N13" i="4"/>
  <c r="Z13" i="4"/>
  <c r="AA13" i="4"/>
  <c r="S13" i="4"/>
  <c r="AB14" i="4"/>
  <c r="AG14" i="4"/>
  <c r="V14" i="4"/>
  <c r="H14" i="4"/>
  <c r="J14" i="4"/>
  <c r="O14" i="4"/>
  <c r="Q14" i="4"/>
  <c r="AA14" i="4"/>
  <c r="L14" i="4"/>
  <c r="M14" i="4"/>
  <c r="G14" i="4"/>
  <c r="AJ14" i="4"/>
  <c r="Z14" i="4"/>
  <c r="N14" i="4"/>
  <c r="I14" i="4"/>
  <c r="AK14" i="4"/>
  <c r="W14" i="4"/>
  <c r="S14" i="4"/>
  <c r="R14" i="4"/>
  <c r="K14" i="4"/>
  <c r="AD14" i="4"/>
  <c r="P14" i="4"/>
  <c r="AF14" i="4"/>
  <c r="D14" i="4" a="1"/>
  <c r="AE14" i="4"/>
  <c r="U14" i="4"/>
  <c r="AH14" i="4"/>
  <c r="T14" i="4"/>
  <c r="Y14" i="4"/>
  <c r="AC14" i="4"/>
  <c r="AI14" i="4"/>
  <c r="X14" i="4"/>
  <c r="Q7" i="4"/>
  <c r="AJ7" i="4"/>
  <c r="AC7" i="4"/>
  <c r="I7" i="4"/>
  <c r="L7" i="4"/>
  <c r="AH7" i="4"/>
  <c r="AD7" i="4"/>
  <c r="S7" i="4"/>
  <c r="G7" i="4"/>
  <c r="H7" i="4"/>
  <c r="AG7" i="4"/>
  <c r="T7" i="4"/>
  <c r="Z7" i="4"/>
  <c r="M7" i="4"/>
  <c r="P7" i="4"/>
  <c r="AE7" i="4"/>
  <c r="O7" i="4"/>
  <c r="AA7" i="4"/>
  <c r="AF7" i="4"/>
  <c r="AI7" i="4"/>
  <c r="X7" i="4"/>
  <c r="AB7" i="4"/>
  <c r="D7" i="4" a="1"/>
  <c r="W7" i="4"/>
  <c r="K7" i="4"/>
  <c r="V7" i="4"/>
  <c r="R7" i="4"/>
  <c r="N7" i="4"/>
  <c r="J7" i="4"/>
  <c r="U7" i="4"/>
  <c r="Y7" i="4"/>
  <c r="AK7" i="4"/>
  <c r="G18" i="4"/>
  <c r="AK18" i="4"/>
  <c r="AI18" i="4"/>
  <c r="Q18" i="4"/>
  <c r="AC18" i="4"/>
  <c r="V18" i="4"/>
  <c r="N18" i="4"/>
  <c r="Y18" i="4"/>
  <c r="AB18" i="4"/>
  <c r="R18" i="4"/>
  <c r="K18" i="4"/>
  <c r="L18" i="4"/>
  <c r="AA18" i="4"/>
  <c r="S18" i="4"/>
  <c r="AG18" i="4"/>
  <c r="T18" i="4"/>
  <c r="U18" i="4"/>
  <c r="M18" i="4"/>
  <c r="I18" i="4"/>
  <c r="W18" i="4"/>
  <c r="H18" i="4"/>
  <c r="AE18" i="4"/>
  <c r="P18" i="4"/>
  <c r="AD18" i="4"/>
  <c r="Z18" i="4"/>
  <c r="AF18" i="4"/>
  <c r="AJ18" i="4"/>
  <c r="AH18" i="4"/>
  <c r="D18" i="4" a="1"/>
  <c r="O18" i="4"/>
  <c r="J18" i="4"/>
  <c r="X18" i="4"/>
  <c r="G10" i="4"/>
  <c r="N10" i="4"/>
  <c r="M10" i="4"/>
  <c r="AK10" i="4"/>
  <c r="H10" i="4"/>
  <c r="J10" i="4"/>
  <c r="Q10" i="4"/>
  <c r="I10" i="4"/>
  <c r="L10" i="4"/>
  <c r="R10" i="4"/>
  <c r="AE10" i="4"/>
  <c r="T10" i="4"/>
  <c r="W10" i="4"/>
  <c r="AH10" i="4"/>
  <c r="AF10" i="4"/>
  <c r="Y10" i="4"/>
  <c r="V10" i="4"/>
  <c r="X10" i="4"/>
  <c r="AA10" i="4"/>
  <c r="AB10" i="4"/>
  <c r="U10" i="4"/>
  <c r="S10" i="4"/>
  <c r="AI10" i="4"/>
  <c r="AD10" i="4"/>
  <c r="D10" i="4" a="1"/>
  <c r="AC10" i="4"/>
  <c r="O10" i="4"/>
  <c r="Z10" i="4"/>
  <c r="AJ10" i="4"/>
  <c r="K10" i="4"/>
  <c r="P10" i="4"/>
  <c r="AG10" i="4"/>
  <c r="N21" i="4"/>
  <c r="AK21" i="4"/>
  <c r="AF21" i="4"/>
  <c r="V21" i="4"/>
  <c r="H21" i="4"/>
  <c r="G21" i="4"/>
  <c r="Y21" i="4"/>
  <c r="P21" i="4"/>
  <c r="J21" i="4"/>
  <c r="AH21" i="4"/>
  <c r="T21" i="4"/>
  <c r="K21" i="4"/>
  <c r="I21" i="4"/>
  <c r="AG21" i="4"/>
  <c r="AA21" i="4"/>
  <c r="O21" i="4"/>
  <c r="U21" i="4"/>
  <c r="AJ21" i="4"/>
  <c r="Z21" i="4"/>
  <c r="Q21" i="4"/>
  <c r="AC21" i="4"/>
  <c r="AI21" i="4"/>
  <c r="W21" i="4"/>
  <c r="AB21" i="4"/>
  <c r="AD21" i="4"/>
  <c r="X21" i="4"/>
  <c r="M21" i="4"/>
  <c r="AE21" i="4"/>
  <c r="S21" i="4"/>
  <c r="L21" i="4"/>
  <c r="R21" i="4"/>
  <c r="D21" i="4" a="1"/>
  <c r="L9" i="4"/>
  <c r="U9" i="4"/>
  <c r="T9" i="4"/>
  <c r="AG9" i="4"/>
  <c r="P9" i="4"/>
  <c r="K9" i="4"/>
  <c r="G9" i="4"/>
  <c r="M9" i="4"/>
  <c r="AD9" i="4"/>
  <c r="AF9" i="4"/>
  <c r="N9" i="4"/>
  <c r="AI9" i="4"/>
  <c r="AA9" i="4"/>
  <c r="S9" i="4"/>
  <c r="AH9" i="4"/>
  <c r="AE9" i="4"/>
  <c r="Q9" i="4"/>
  <c r="W9" i="4"/>
  <c r="AC9" i="4"/>
  <c r="V9" i="4"/>
  <c r="AK9" i="4"/>
  <c r="R9" i="4"/>
  <c r="AJ9" i="4"/>
  <c r="Y9" i="4"/>
  <c r="H9" i="4"/>
  <c r="AB9" i="4"/>
  <c r="Z9" i="4"/>
  <c r="X9" i="4"/>
  <c r="J9" i="4"/>
  <c r="O9" i="4"/>
  <c r="I9" i="4"/>
  <c r="D9" i="4" a="1"/>
  <c r="K11" i="4"/>
  <c r="AI11" i="4"/>
  <c r="X11" i="4"/>
  <c r="I11" i="4"/>
  <c r="AA11" i="4"/>
  <c r="M11" i="4"/>
  <c r="R11" i="4"/>
  <c r="V11" i="4"/>
  <c r="J11" i="4"/>
  <c r="AC11" i="4"/>
  <c r="AH11" i="4"/>
  <c r="AD11" i="4"/>
  <c r="G11" i="4"/>
  <c r="Y11" i="4"/>
  <c r="L11" i="4"/>
  <c r="AB11" i="4"/>
  <c r="O11" i="4"/>
  <c r="P11" i="4"/>
  <c r="Q11" i="4"/>
  <c r="T11" i="4"/>
  <c r="H11" i="4"/>
  <c r="D11" i="4" a="1"/>
  <c r="AG11" i="4"/>
  <c r="W11" i="4"/>
  <c r="AE11" i="4"/>
  <c r="U11" i="4"/>
  <c r="AJ11" i="4"/>
  <c r="Z11" i="4"/>
  <c r="AF11" i="4"/>
  <c r="N11" i="4"/>
  <c r="AK11" i="4"/>
  <c r="S11" i="4"/>
  <c r="V16" i="4"/>
  <c r="AB16" i="4"/>
  <c r="AJ16" i="4"/>
  <c r="AD16" i="4"/>
  <c r="AG16" i="4"/>
  <c r="X16" i="4"/>
  <c r="G16" i="4"/>
  <c r="M16" i="4"/>
  <c r="AF16" i="4"/>
  <c r="Q16" i="4"/>
  <c r="S16" i="4"/>
  <c r="P16" i="4"/>
  <c r="D16" i="4" a="1"/>
  <c r="AH16" i="4"/>
  <c r="J16" i="4"/>
  <c r="AI16" i="4"/>
  <c r="R16" i="4"/>
  <c r="K16" i="4"/>
  <c r="L16" i="4"/>
  <c r="AE16" i="4"/>
  <c r="N16" i="4"/>
  <c r="Z16" i="4"/>
  <c r="I16" i="4"/>
  <c r="AA16" i="4"/>
  <c r="H16" i="4"/>
  <c r="AC16" i="4"/>
  <c r="O16" i="4"/>
  <c r="W16" i="4"/>
  <c r="T16" i="4"/>
  <c r="Y16" i="4"/>
  <c r="U16" i="4"/>
  <c r="AK16" i="4"/>
  <c r="M15" i="4"/>
  <c r="X15" i="4"/>
  <c r="Y15" i="4"/>
  <c r="S15" i="4"/>
  <c r="K15" i="4"/>
  <c r="AE15" i="4"/>
  <c r="W15" i="4"/>
  <c r="G15" i="4"/>
  <c r="AF15" i="4"/>
  <c r="AD15" i="4"/>
  <c r="Z15" i="4"/>
  <c r="H15" i="4"/>
  <c r="R15" i="4"/>
  <c r="AK15" i="4"/>
  <c r="AC15" i="4"/>
  <c r="V15" i="4"/>
  <c r="I15" i="4"/>
  <c r="P15" i="4"/>
  <c r="AB15" i="4"/>
  <c r="AJ15" i="4"/>
  <c r="AI15" i="4"/>
  <c r="T15" i="4"/>
  <c r="U15" i="4"/>
  <c r="D15" i="4" a="1"/>
  <c r="AG15" i="4"/>
  <c r="J15" i="4"/>
  <c r="L15" i="4"/>
  <c r="Q15" i="4"/>
  <c r="N15" i="4"/>
  <c r="AA15" i="4"/>
  <c r="AH15" i="4"/>
  <c r="O15" i="4"/>
  <c r="D8" i="4" a="1"/>
  <c r="J8" i="4"/>
  <c r="L8" i="4"/>
  <c r="K8" i="4"/>
  <c r="M8" i="4"/>
  <c r="N8" i="4"/>
  <c r="O8" i="4"/>
  <c r="Q8" i="4"/>
  <c r="R8" i="4"/>
  <c r="S8" i="4"/>
  <c r="T8" i="4"/>
  <c r="U8" i="4"/>
  <c r="V8" i="4"/>
  <c r="W8" i="4"/>
  <c r="X8" i="4"/>
  <c r="Y8" i="4"/>
  <c r="Z8" i="4"/>
  <c r="AA8" i="4"/>
  <c r="AB8" i="4"/>
  <c r="AC8" i="4"/>
  <c r="AD8" i="4"/>
  <c r="AF8" i="4"/>
  <c r="AG8" i="4"/>
  <c r="AH8" i="4"/>
  <c r="AI8" i="4"/>
  <c r="G8" i="4"/>
  <c r="H8" i="4"/>
  <c r="I8" i="4"/>
  <c r="AK8" i="4"/>
  <c r="AE8" i="4"/>
  <c r="P8" i="4"/>
  <c r="AJ8" i="4"/>
  <c r="Q12" i="4"/>
  <c r="O12" i="4"/>
  <c r="N12" i="4"/>
  <c r="AD12" i="4"/>
  <c r="S12" i="4"/>
  <c r="I12" i="4"/>
  <c r="AI12" i="4"/>
  <c r="Y12" i="4"/>
  <c r="AH12" i="4"/>
  <c r="AC12" i="4"/>
  <c r="V12" i="4"/>
  <c r="AE12" i="4"/>
  <c r="AA12" i="4"/>
  <c r="W12" i="4"/>
  <c r="R12" i="4"/>
  <c r="P12" i="4"/>
  <c r="M12" i="4"/>
  <c r="H12" i="4"/>
  <c r="U12" i="4"/>
  <c r="AB12" i="4"/>
  <c r="AJ12" i="4"/>
  <c r="G12" i="4"/>
  <c r="T12" i="4"/>
  <c r="Z12" i="4"/>
  <c r="D12" i="4" a="1"/>
  <c r="X12" i="4"/>
  <c r="L12" i="4"/>
  <c r="J12" i="4"/>
  <c r="AF12" i="4"/>
  <c r="K12" i="4"/>
  <c r="AG12" i="4"/>
  <c r="AK12" i="4"/>
  <c r="D6" i="4" a="1"/>
  <c r="L6" i="4"/>
  <c r="R6" i="4"/>
  <c r="Y6" i="4"/>
  <c r="AE6" i="4"/>
  <c r="AG6" i="4"/>
  <c r="J6" i="4"/>
  <c r="P6" i="4"/>
  <c r="AI6" i="4"/>
  <c r="O6" i="4"/>
  <c r="V6" i="4"/>
  <c r="AB6" i="4"/>
  <c r="AD6" i="4"/>
  <c r="AH6" i="4"/>
  <c r="S6" i="4"/>
  <c r="G6" i="4"/>
  <c r="M6" i="4"/>
  <c r="Z6" i="4"/>
  <c r="AK6" i="4"/>
  <c r="T6" i="4"/>
  <c r="Q6" i="4"/>
  <c r="H6" i="4"/>
  <c r="U6" i="4"/>
  <c r="W6" i="4"/>
  <c r="AA6" i="4"/>
  <c r="I6" i="4"/>
  <c r="N6" i="4"/>
  <c r="X6" i="4"/>
  <c r="AF6" i="4"/>
  <c r="K6" i="4"/>
  <c r="AC6" i="4"/>
  <c r="AJ6" i="4"/>
  <c r="N19" i="4"/>
  <c r="H19" i="4"/>
  <c r="AJ19" i="4"/>
  <c r="W19" i="4"/>
  <c r="AI19" i="4"/>
  <c r="T19" i="4"/>
  <c r="K19" i="4"/>
  <c r="V19" i="4"/>
  <c r="S19" i="4"/>
  <c r="M19" i="4"/>
  <c r="AE19" i="4"/>
  <c r="L19" i="4"/>
  <c r="U19" i="4"/>
  <c r="Z19" i="4"/>
  <c r="AG19" i="4"/>
  <c r="G19" i="4"/>
  <c r="AB19" i="4"/>
  <c r="AK19" i="4"/>
  <c r="X19" i="4"/>
  <c r="AA19" i="4"/>
  <c r="AC19" i="4"/>
  <c r="O19" i="4"/>
  <c r="Y19" i="4"/>
  <c r="Q19" i="4"/>
  <c r="P19" i="4"/>
  <c r="AF19" i="4"/>
  <c r="I19" i="4"/>
  <c r="J19" i="4"/>
  <c r="AH19" i="4"/>
  <c r="AD19" i="4"/>
  <c r="D19" i="4" a="1"/>
  <c r="R19" i="4"/>
  <c r="D17" i="4" a="1"/>
  <c r="Q17" i="4"/>
  <c r="R17" i="4"/>
  <c r="AH17" i="4"/>
  <c r="AD17" i="4"/>
  <c r="U17" i="4"/>
  <c r="AJ17" i="4"/>
  <c r="Z17" i="4"/>
  <c r="P17" i="4"/>
  <c r="N17" i="4"/>
  <c r="X17" i="4"/>
  <c r="I17" i="4"/>
  <c r="G17" i="4"/>
  <c r="S17" i="4"/>
  <c r="W17" i="4"/>
  <c r="AI17" i="4"/>
  <c r="J17" i="4"/>
  <c r="T17" i="4"/>
  <c r="AA17" i="4"/>
  <c r="AK17" i="4"/>
  <c r="M17" i="4"/>
  <c r="AB17" i="4"/>
  <c r="O17" i="4"/>
  <c r="AE17" i="4"/>
  <c r="L17" i="4"/>
  <c r="V17" i="4"/>
  <c r="Y17" i="4"/>
  <c r="AC17" i="4"/>
  <c r="AG17" i="4"/>
  <c r="H17" i="4"/>
  <c r="AF17" i="4"/>
  <c r="K17" i="4"/>
  <c r="AL30" i="4"/>
  <c r="AL20" i="4" l="1"/>
  <c r="AL13" i="4"/>
  <c r="AL14" i="4"/>
  <c r="AL7" i="4"/>
  <c r="AL10" i="4"/>
  <c r="AL18" i="4"/>
  <c r="AL21" i="4"/>
  <c r="AL9" i="4"/>
  <c r="AL11" i="4"/>
  <c r="AL15" i="4"/>
  <c r="AL16" i="4"/>
  <c r="S22" i="4"/>
  <c r="S33" i="4" s="1"/>
  <c r="M22" i="4"/>
  <c r="M33" i="4" s="1"/>
  <c r="Z22" i="4"/>
  <c r="Z33" i="4" s="1"/>
  <c r="AK22" i="4"/>
  <c r="AK33" i="4" s="1"/>
  <c r="G22" i="4"/>
  <c r="G33" i="4" s="1"/>
  <c r="AL6" i="4"/>
  <c r="AL8" i="4"/>
  <c r="AL12" i="4"/>
  <c r="Y22" i="4"/>
  <c r="Y33" i="4" s="1"/>
  <c r="P22" i="4"/>
  <c r="P33" i="4" s="1"/>
  <c r="AD22" i="4"/>
  <c r="AD33" i="4" s="1"/>
  <c r="T22" i="4"/>
  <c r="T33" i="4" s="1"/>
  <c r="Q22" i="4"/>
  <c r="Q33" i="4" s="1"/>
  <c r="H22" i="4"/>
  <c r="H33" i="4" s="1"/>
  <c r="U22" i="4"/>
  <c r="U33" i="4" s="1"/>
  <c r="W22" i="4"/>
  <c r="W33" i="4" s="1"/>
  <c r="AA22" i="4"/>
  <c r="AA33" i="4" s="1"/>
  <c r="I22" i="4"/>
  <c r="I33" i="4" s="1"/>
  <c r="N22" i="4"/>
  <c r="N33" i="4" s="1"/>
  <c r="X22" i="4"/>
  <c r="X33" i="4" s="1"/>
  <c r="AF22" i="4"/>
  <c r="AF33" i="4" s="1"/>
  <c r="K22" i="4"/>
  <c r="K33" i="4" s="1"/>
  <c r="AC22" i="4"/>
  <c r="AC33" i="4" s="1"/>
  <c r="AJ22" i="4"/>
  <c r="AJ33" i="4" s="1"/>
  <c r="AL19" i="4"/>
  <c r="AL17" i="4"/>
  <c r="L22" i="4"/>
  <c r="L33" i="4" s="1"/>
  <c r="R22" i="4"/>
  <c r="R33" i="4" s="1"/>
  <c r="AE22" i="4"/>
  <c r="AE33" i="4" s="1"/>
  <c r="AG22" i="4"/>
  <c r="AG33" i="4" s="1"/>
  <c r="J22" i="4"/>
  <c r="J33" i="4" s="1"/>
  <c r="AI22" i="4"/>
  <c r="AI33" i="4" s="1"/>
  <c r="O22" i="4"/>
  <c r="O33" i="4" s="1"/>
  <c r="V22" i="4"/>
  <c r="V33" i="4" s="1"/>
  <c r="AB22" i="4"/>
  <c r="AB33" i="4" s="1"/>
  <c r="AH22" i="4"/>
  <c r="AH33" i="4" s="1"/>
  <c r="AL22" i="4" l="1"/>
  <c r="AR33" i="4" l="1"/>
  <c r="AL33" i="4"/>
  <c r="AL34" i="4" l="1"/>
  <c r="AP3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APIRAT</author>
  </authors>
  <commentList>
    <comment ref="C3" authorId="0" shapeId="0" xr:uid="{E9A4DF92-EA06-4CBC-9EE0-DDAB1955B2E4}">
      <text>
        <r>
          <rPr>
            <sz val="11"/>
            <color theme="1"/>
            <rFont val="Calibri"/>
            <family val="2"/>
            <scheme val="minor"/>
          </rPr>
          <t>กรุณาเลือกเดือน</t>
        </r>
      </text>
    </comment>
    <comment ref="F3" authorId="0" shapeId="0" xr:uid="{027EBC56-2395-47BC-B2B9-F208716DAA3E}">
      <text>
        <r>
          <rPr>
            <sz val="11"/>
            <color theme="1"/>
            <rFont val="Calibri"/>
            <family val="2"/>
            <scheme val="minor"/>
          </rPr>
          <t>กรุณาเลือกปี</t>
        </r>
        <r>
          <rPr>
            <sz val="11"/>
            <color theme="1"/>
            <rFont val="Calibri"/>
            <family val="2"/>
            <scheme val="minor"/>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APIRAT</author>
    <author>TAO</author>
  </authors>
  <commentList>
    <comment ref="E4" authorId="0" shapeId="0" xr:uid="{E01BC422-7F10-4585-A3FB-4E4BDE8A678F}">
      <text>
        <r>
          <rPr>
            <sz val="11"/>
            <color theme="1"/>
            <rFont val="Calibri"/>
            <family val="2"/>
            <scheme val="minor"/>
          </rPr>
          <t>กรุณาเลือกรหัสลูกค้า</t>
        </r>
      </text>
    </comment>
    <comment ref="N6" authorId="1" shapeId="0" xr:uid="{656714E3-D655-460D-9F6A-784279A01CF3}">
      <text>
        <r>
          <rPr>
            <sz val="9"/>
            <color indexed="81"/>
            <rFont val="Tahoma"/>
            <family val="2"/>
          </rPr>
          <t>สูตรคำนวณจาก In/Out (รูปแบบ ชม.นาที เช่น 8.30 = 8:30) หักเวลาพัก 2 ช่วง: พักเที่ยง 12.00-13.00 และพักเย็น 20.00-21.00 (เฉพาะส่วนที่ทับช่วงพัก) | หากกรอกเวลา In = 0.01 ระบบจะถือว่าเข้างานตั้งแต่เวลา 0.00 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APIRAT</author>
    <author>TAO</author>
  </authors>
  <commentList>
    <comment ref="E4" authorId="0" shapeId="0" xr:uid="{32F76E94-F7CB-4E91-B9BC-8F4F2D4E5326}">
      <text>
        <r>
          <rPr>
            <sz val="11"/>
            <color theme="1"/>
            <rFont val="Calibri"/>
            <family val="2"/>
            <scheme val="minor"/>
          </rPr>
          <t>กรุณาเลือกรหัสลูกค้า</t>
        </r>
      </text>
    </comment>
    <comment ref="N6" authorId="1" shapeId="0" xr:uid="{4264F34D-7FD9-4205-A196-06A088EE68A4}">
      <text>
        <r>
          <rPr>
            <b/>
            <sz val="9"/>
            <color indexed="81"/>
            <rFont val="Tahoma"/>
            <family val="2"/>
          </rPr>
          <t>OT ชม. = ชม.ทำงานสุทธิทั้งวันหักชม.ทำงานปกติ 8 ชม. (ดูสูตรที่ AD6 - ตรงกับวิธีคำนวณใน TIME SHEET)</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<sst xmlns="http://schemas.openxmlformats.org/spreadsheetml/2006/main" count="326" uniqueCount="304">
  <si>
    <t>MONTHLY TIME SHEET</t>
  </si>
  <si>
    <t>Dr.Virach &amp; Associates</t>
  </si>
  <si>
    <t xml:space="preserve">Month </t>
  </si>
  <si>
    <t>กุมภาพันธ์</t>
  </si>
  <si>
    <t>Year</t>
  </si>
  <si>
    <t>NAME</t>
  </si>
  <si>
    <t>DAY</t>
  </si>
  <si>
    <t>TOTAL</t>
  </si>
  <si>
    <t>CLIENT NAME</t>
  </si>
  <si>
    <t>MONTH</t>
  </si>
  <si>
    <t>CLIENTS' NAME</t>
  </si>
  <si>
    <t>PERIOD</t>
  </si>
  <si>
    <t>มกราคม</t>
  </si>
  <si>
    <t>ลาป่วย</t>
  </si>
  <si>
    <t>มีนาคม</t>
  </si>
  <si>
    <t>ลาพักร้อน</t>
  </si>
  <si>
    <t>เมษายน</t>
  </si>
  <si>
    <t>พฤษภาคม</t>
  </si>
  <si>
    <t>ลา OT สะสม</t>
  </si>
  <si>
    <t>มิถุนายน</t>
  </si>
  <si>
    <t>อบรม</t>
  </si>
  <si>
    <t>กรกฎาคม</t>
  </si>
  <si>
    <t>สิงหาคม</t>
  </si>
  <si>
    <t>กันยายน</t>
  </si>
  <si>
    <t>ตุลาคม</t>
  </si>
  <si>
    <t>พฤศจิกายน</t>
  </si>
  <si>
    <t>ธันวาคม</t>
  </si>
  <si>
    <t>NON CHARGE</t>
  </si>
  <si>
    <t>TOTAL NON CHARGE-( B )</t>
  </si>
  <si>
    <t xml:space="preserve">OVER TIME-( C ) </t>
  </si>
  <si>
    <t>EXTRA HOURS-( D )</t>
  </si>
  <si>
    <t>STANDARDS  (A+B)-( C )-( D )</t>
  </si>
  <si>
    <t>Dr. Virach &amp; Associates</t>
  </si>
  <si>
    <t>TIME REPORT</t>
  </si>
  <si>
    <t xml:space="preserve">Division </t>
  </si>
  <si>
    <t>Month</t>
  </si>
  <si>
    <t xml:space="preserve">Prepared by </t>
  </si>
  <si>
    <t xml:space="preserve">Approved by </t>
  </si>
  <si>
    <t>Date</t>
  </si>
  <si>
    <t>Hour</t>
  </si>
  <si>
    <t>Client's name</t>
  </si>
  <si>
    <t>Service Rendered</t>
  </si>
  <si>
    <t>Time</t>
  </si>
  <si>
    <t>In</t>
  </si>
  <si>
    <t>Out</t>
  </si>
  <si>
    <t xml:space="preserve">Hrs. </t>
  </si>
  <si>
    <t>Min</t>
  </si>
  <si>
    <t>รวม</t>
  </si>
  <si>
    <t xml:space="preserve">       </t>
  </si>
  <si>
    <t>68YE</t>
  </si>
  <si>
    <t>69YE</t>
  </si>
  <si>
    <t>Q2/69</t>
  </si>
  <si>
    <t>Q3/69</t>
  </si>
  <si>
    <t>หยุดวันเสาร์</t>
  </si>
  <si>
    <t>หยุดวันอาทิตย์</t>
  </si>
  <si>
    <t>หยุดวันนักขัตฤกษ์</t>
  </si>
  <si>
    <t>O.T./Extra</t>
  </si>
  <si>
    <t>ชั่วโมงมาตรฐาน/วัน (ชม.)</t>
  </si>
  <si>
    <t>O.T.</t>
  </si>
  <si>
    <t>ชม.ทำงานปกติ</t>
  </si>
  <si>
    <t>ชม.พักกลางวัน</t>
  </si>
  <si>
    <t>เกณฑ์กรอง (ช่อง Q)</t>
  </si>
  <si>
    <t xml:space="preserve">DIVISION </t>
  </si>
  <si>
    <t>วันหยุดนักขัตฤกษ์ / วันหยุดตามประกาศ (ใช้สำหรับไฮไลท์ TIME SHEET &amp; TIME REPORT)</t>
  </si>
  <si>
    <t>เดือนที่เลือก (ตัวเลข)</t>
  </si>
  <si>
    <t>ปีที่เลือก (ค.ศ.)</t>
  </si>
  <si>
    <t>วันที่</t>
  </si>
  <si>
    <t>ชื่อวันหยุด</t>
  </si>
  <si>
    <t>หมายเหตุ</t>
  </si>
  <si>
    <t>วันขึ้นปีใหม่</t>
  </si>
  <si>
    <t>วันหยุดพิเศษ (มติ ครม.)</t>
  </si>
  <si>
    <t>วันมาฆบูชา</t>
  </si>
  <si>
    <t>วันจักรี</t>
  </si>
  <si>
    <t>วันสงกรานต์</t>
  </si>
  <si>
    <t>วันแรงงานแห่งชาติ</t>
  </si>
  <si>
    <t>วันฉัตรมงคล</t>
  </si>
  <si>
    <t>วันวิสาขบูชา</t>
  </si>
  <si>
    <t>ตรงวันอาทิตย์</t>
  </si>
  <si>
    <t>วันหยุดชดเชยวันวิสาขบูชา</t>
  </si>
  <si>
    <t>วันเฉลิมพระชนมพรรษา สมเด็จพระราชินี</t>
  </si>
  <si>
    <t>วันเฉลิมพระชนมพรรษา ร.10</t>
  </si>
  <si>
    <t>วันอาสาฬหบูชา</t>
  </si>
  <si>
    <t>วันเข้าพรรษา</t>
  </si>
  <si>
    <t>วันแม่แห่งชาติ</t>
  </si>
  <si>
    <t>วันนวมินทรมหาราช</t>
  </si>
  <si>
    <t>วันปิยมหาราช</t>
  </si>
  <si>
    <t>วันพ่อแห่งชาติ</t>
  </si>
  <si>
    <t>ตรงวันเสาร์</t>
  </si>
  <si>
    <t>วันหยุดชดเชยวันพ่อแห่งชาติ</t>
  </si>
  <si>
    <t>วันรัฐธรรมนูญ</t>
  </si>
  <si>
    <t>วันสิ้นปี</t>
  </si>
  <si>
    <t>* เพิ่มวันหยุดปีถัดไป (เช่น 2570) ต่อท้ายในคอลัมน์ A–B ได้เลย (รองรับถึงแถว 200) – ระบบจะไฮไลท์อัตโนมัติ</t>
  </si>
  <si>
    <t>TOTAL CHARGE-( A )</t>
  </si>
  <si>
    <t>Q1/69</t>
  </si>
  <si>
    <t>ลากิจ</t>
  </si>
  <si>
    <t>OFFICE</t>
  </si>
  <si>
    <t/>
  </si>
  <si>
    <t/>
  </si>
  <si>
    <t>A1</t>
  </si>
  <si>
    <t>A2</t>
  </si>
  <si>
    <t>A3</t>
  </si>
  <si>
    <t>A4</t>
  </si>
  <si>
    <t>A5</t>
  </si>
  <si>
    <t>A6</t>
  </si>
  <si>
    <t>A7</t>
  </si>
  <si>
    <t>A8</t>
  </si>
  <si>
    <t>A9</t>
  </si>
  <si>
    <t>A10</t>
  </si>
  <si>
    <t>A11</t>
  </si>
  <si>
    <t>A12</t>
  </si>
  <si>
    <t>A13</t>
  </si>
  <si>
    <t>A14</t>
  </si>
  <si>
    <t>A15</t>
  </si>
  <si>
    <t>A16</t>
  </si>
  <si>
    <t>A17</t>
  </si>
  <si>
    <t>A18</t>
  </si>
  <si>
    <t>A19</t>
  </si>
  <si>
    <t>A20</t>
  </si>
  <si>
    <t>A21</t>
  </si>
  <si>
    <t>A22</t>
  </si>
  <si>
    <t>A23</t>
  </si>
  <si>
    <t>A24</t>
  </si>
  <si>
    <t>A25</t>
  </si>
  <si>
    <t>A26</t>
  </si>
  <si>
    <t>A27</t>
  </si>
  <si>
    <t>A28</t>
  </si>
  <si>
    <t>A29</t>
  </si>
  <si>
    <t>A30</t>
  </si>
  <si>
    <t>A31</t>
  </si>
  <si>
    <t>A32</t>
  </si>
  <si>
    <t>A33</t>
  </si>
  <si>
    <t>A34</t>
  </si>
  <si>
    <t>A35</t>
  </si>
  <si>
    <t>A36</t>
  </si>
  <si>
    <t>A37</t>
  </si>
  <si>
    <t>A38</t>
  </si>
  <si>
    <t>A39</t>
  </si>
  <si>
    <t>A40</t>
  </si>
  <si>
    <t>A41</t>
  </si>
  <si>
    <t>A42</t>
  </si>
  <si>
    <t>A43</t>
  </si>
  <si>
    <t>A44</t>
  </si>
  <si>
    <t>A45</t>
  </si>
  <si>
    <t>A46</t>
  </si>
  <si>
    <t>A47</t>
  </si>
  <si>
    <t>A48</t>
  </si>
  <si>
    <t>A49</t>
  </si>
  <si>
    <t>A50</t>
  </si>
  <si>
    <t>A51</t>
  </si>
  <si>
    <t>A52</t>
  </si>
  <si>
    <t>A53</t>
  </si>
  <si>
    <t>A54</t>
  </si>
  <si>
    <t>A55</t>
  </si>
  <si>
    <t>A56</t>
  </si>
  <si>
    <t>A57</t>
  </si>
  <si>
    <t>A58</t>
  </si>
  <si>
    <t>A59</t>
  </si>
  <si>
    <t>A60</t>
  </si>
  <si>
    <t>A61</t>
  </si>
  <si>
    <t>A62</t>
  </si>
  <si>
    <t>A63</t>
  </si>
  <si>
    <t>A64</t>
  </si>
  <si>
    <t>A65</t>
  </si>
  <si>
    <t>A66</t>
  </si>
  <si>
    <t>A67</t>
  </si>
  <si>
    <t>A68</t>
  </si>
  <si>
    <t>A69</t>
  </si>
  <si>
    <t>A70</t>
  </si>
  <si>
    <t>A71</t>
  </si>
  <si>
    <t>A72</t>
  </si>
  <si>
    <t>A73</t>
  </si>
  <si>
    <t>A74</t>
  </si>
  <si>
    <t>A75</t>
  </si>
  <si>
    <t>A76</t>
  </si>
  <si>
    <t>A77</t>
  </si>
  <si>
    <t>A78</t>
  </si>
  <si>
    <t>A79</t>
  </si>
  <si>
    <t>A80</t>
  </si>
  <si>
    <t>A81</t>
  </si>
  <si>
    <t>A82</t>
  </si>
  <si>
    <t>A83</t>
  </si>
  <si>
    <t>A84</t>
  </si>
  <si>
    <t>A85</t>
  </si>
  <si>
    <t>A86</t>
  </si>
  <si>
    <t>A87</t>
  </si>
  <si>
    <t>A88</t>
  </si>
  <si>
    <t>A89</t>
  </si>
  <si>
    <t>A90</t>
  </si>
  <si>
    <t>A91</t>
  </si>
  <si>
    <t>A92</t>
  </si>
  <si>
    <t>A93</t>
  </si>
  <si>
    <t>A94</t>
  </si>
  <si>
    <t>A95</t>
  </si>
  <si>
    <t>A96</t>
  </si>
  <si>
    <t>A97</t>
  </si>
  <si>
    <t>A98</t>
  </si>
  <si>
    <t>A99</t>
  </si>
  <si>
    <t>A100</t>
  </si>
  <si>
    <t>A101</t>
  </si>
  <si>
    <t>A102</t>
  </si>
  <si>
    <t>A103</t>
  </si>
  <si>
    <t>A104</t>
  </si>
  <si>
    <t>A105</t>
  </si>
  <si>
    <t>A106</t>
  </si>
  <si>
    <t>A107</t>
  </si>
  <si>
    <t>A108</t>
  </si>
  <si>
    <t>A109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</si>
  <si>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</si>
  <si>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</si>
  <si>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</si>
  <si>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</si>
  <si>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</si>
  <si>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</si>
  <si>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</si>
  <si>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</si>
  <si>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</si>
  <si>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</si>
  <si>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</si>
  <si>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</si>
  <si>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</si>
  <si>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</si>
  <si>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</si>
  <si>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</si>
  <si>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</si>
  <si>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</si>
  <si>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</si>
  <si>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</si>
  <si>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</si>
  <si>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</si>
  <si>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</si>
  <si>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</si>
  <si>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</si>
  <si>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</si>
  <si>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</si>
  <si>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</si>
  <si>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</si>
  <si>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</si>
  <si>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</si>
  <si>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</si>
  <si>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</si>
  <si>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</si>
  <si>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</si>
  <si>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</si>
  <si>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</si>
  <si>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</si>
  <si>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</si>
  <si>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</si>
  <si>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</si>
  <si>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</si>
  <si>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</si>
  <si>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</si>
  <si>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</si>
  <si>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</si>
  <si>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</si>
  <si>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</si>
  <si>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</si>
  <si>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</si>
  <si>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</si>
  <si>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</si>
  <si>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</si>
  <si>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A163</t>
  </si>
  <si>
    <t>A164</t>
  </si>
  <si>
    <t>A165</t>
  </si>
  <si>
    <t>A166</t>
  </si>
  <si>
    <t>A167</t>
  </si>
  <si>
    <t>A168</t>
  </si>
  <si>
    <t>A169</t>
  </si>
  <si>
    <t>A170</t>
  </si>
  <si>
    <t>A171</t>
  </si>
  <si>
    <t>A172</t>
  </si>
  <si>
    <t>A173</t>
  </si>
  <si>
    <t>A174</t>
  </si>
  <si>
    <t>A175</t>
  </si>
  <si>
    <t>A176</t>
  </si>
  <si>
    <t>A177</t>
  </si>
  <si>
    <t>A178</t>
  </si>
  <si>
    <t>A179</t>
  </si>
  <si>
    <t>A180</t>
  </si>
  <si>
    <t>A181</t>
  </si>
  <si>
    <t>A182</t>
  </si>
  <si>
    <t>A183</t>
  </si>
  <si>
    <t>A184</t>
  </si>
  <si>
    <t>A185</t>
  </si>
  <si>
    <t>A186</t>
  </si>
  <si>
    <t>A187</t>
  </si>
  <si>
    <t>A188</t>
  </si>
  <si>
    <t>A189</t>
  </si>
  <si>
    <t>A190</t>
  </si>
  <si>
    <t>A191</t>
  </si>
  <si>
    <t>A192</t>
  </si>
  <si>
    <t>A193</t>
  </si>
  <si>
    <t>A194</t>
  </si>
  <si>
    <t>A195</t>
  </si>
  <si>
    <t>A196</t>
  </si>
  <si>
    <t>A197</t>
  </si>
  <si>
    <t>A198</t>
  </si>
  <si>
    <t>A199</t>
  </si>
  <si>
    <t>A200</t>
  </si>
  <si>
    <t>1. OFFICE (FIRM'S WORK)</t>
  </si>
  <si>
    <t>2. ลาป่วย (SICK)</t>
  </si>
  <si>
    <t>3. ลาพักร้อน (HOLIDAY)</t>
  </si>
  <si>
    <t>4. อบรม (TRAINING)</t>
  </si>
  <si>
    <t>5. ลา OT สะสม (OT ACCUMULATED)</t>
  </si>
  <si>
    <t>6. ลากิจ (PERSONAL LEAVE)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</si>
</sst>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_(* #,##0.00_);_(* \(#,##0.00\);_(* &quot;-&quot;??_);_(@_)"/>
    <numFmt numFmtId="166" formatCode="_(\ #,##0_);_(\ \(#,##0.00\);_(* &quot;-&quot;??_);_(@_)"/>
    <numFmt numFmtId="167" formatCode="_(\ #,##0.00_);_(\ \(#,##0.0000\);_(* &quot;-&quot;??_);_(@_)"/>
    <numFmt numFmtId="168" formatCode="#,##0.0;\-#,##0.0;"/>
    <numFmt numFmtId="169" formatCode="[$-1070000]d\ mmm\ yyyy"/>
  </numFmts>
  <fonts count="23">
    <font>
      <sz val="11"/>
      <color theme="1"/>
      <name val="Calibri"/>
      <family val="2"/>
      <charset val="222"/>
      <scheme val="minor"/>
    </font>
    <font>
      <sz val="10"/>
      <name val="Arial"/>
      <family val="2"/>
    </font>
    <font>
      <b/>
      <sz val="20"/>
      <name val="Angsana New"/>
      <family val="1"/>
    </font>
    <font>
      <sz val="20"/>
      <name val="Angsana New"/>
      <family val="1"/>
    </font>
    <font>
      <b/>
      <sz val="20"/>
      <name val="AngsanaUPC"/>
      <family val="1"/>
      <charset val="1"/>
    </font>
    <font>
      <sz val="11"/>
      <color theme="1"/>
      <name val="Calibri"/>
      <family val="2"/>
      <scheme val="minor"/>
    </font>
    <font>
      <b/>
      <sz val="16"/>
      <name val="Angsana New"/>
      <family val="1"/>
    </font>
    <font>
      <sz val="16"/>
      <name val="Angsana New"/>
      <family val="1"/>
    </font>
    <font>
      <b/>
      <sz val="16"/>
      <name val="AngsanaUPC"/>
      <family val="1"/>
      <charset val="1"/>
    </font>
    <font>
      <sz val="16"/>
      <color theme="1"/>
      <name val="Angsana New"/>
      <family val="1"/>
    </font>
    <font>
      <b/>
      <u/>
      <sz val="16"/>
      <name val="Angsana New"/>
      <family val="1"/>
    </font>
    <font>
      <sz val="8"/>
      <name val="Calibri"/>
      <family val="2"/>
      <charset val="222"/>
      <scheme val="minor"/>
    </font>
    <font>
      <sz val="16"/>
      <name val="Angsana New"/>
      <family val="1"/>
      <charset val="222"/>
    </font>
    <font>
      <b/>
      <sz val="16"/>
      <name val="AngsanaUPC"/>
      <family val="1"/>
      <charset val="222"/>
    </font>
    <font>
      <sz val="9"/>
      <color indexed="81"/>
      <name val="Tahoma"/>
      <family val="2"/>
    </font>
    <font>
      <b/>
      <sz val="9"/>
      <color indexed="81"/>
      <name val="Tahoma"/>
      <family val="2"/>
    </font>
    <font>
      <sz val="16"/>
      <name val="AngsanaUPC"/>
      <family val="1"/>
      <charset val="222"/>
    </font>
    <font>
      <b/>
      <sz val="11"/>
      <color theme="1"/>
      <name val="Calibri"/>
      <family val="2"/>
      <charset val="222"/>
      <scheme val="minor"/>
    </font>
    <font>
      <b/>
      <sz val="16"/>
      <color rgb="FF0000FF"/>
      <name val="Angsana New"/>
      <family val="1"/>
    </font>
    <font>
      <b/>
      <sz val="16"/>
      <color rgb="FF0000FF"/>
      <name val="AngsanaUPC"/>
      <family val="1"/>
      <charset val="1"/>
    </font>
    <font>
      <b/>
      <sz val="13"/>
      <color theme="1"/>
      <name val="Calibri"/>
      <family val="2"/>
      <charset val="222"/>
      <scheme val="minor"/>
    </font>
    <font>
      <sz val="11"/>
      <color rgb="FF0000FF"/>
      <name val="Calibri"/>
      <family val="2"/>
      <charset val="222"/>
      <scheme val="minor"/>
    </font>
    <font>
      <i/>
      <sz val="11"/>
      <color theme="1"/>
      <name val="Calibri"/>
      <family val="2"/>
      <charset val="222"/>
      <scheme val="minor"/>
    </font>
  </fonts>
  <fills count="3">
    <fill>
      <patternFill patternType="none"/>
    </fill>
    <fill>
      <patternFill patternType="gray125"/>
    </fill>
    <fill>
      <patternFill patternType="solid">
        <fgColor theme="5" tint="0.79998168889431442"/>
        <bgColor indexed="64"/>
      </patternFill>
    </fill>
  </fills>
  <borders count="26">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bottom style="hair">
        <color indexed="64"/>
      </bottom>
      <diagonal/>
    </border>
    <border>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style="thin">
        <color indexed="64"/>
      </left>
      <right/>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s>
  <cellStyleXfs count="9">
    <xf numFmtId="0" fontId="0" fillId="0" borderId="0"/>
    <xf numFmtId="0" fontId="1" fillId="0" borderId="0"/>
    <xf numFmtId="165" fontId="1" fillId="0" borderId="0" applyFont="0" applyFill="0" applyBorder="0" applyAlignment="0" applyProtection="0"/>
    <xf numFmtId="0" fontId="5" fillId="0" borderId="0"/>
    <xf numFmtId="0" fontId="7" fillId="0" borderId="0"/>
    <xf numFmtId="0" fontId="5"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161">
    <xf numFmtId="0" fontId="0" fillId="0" borderId="0" xfId="0"/>
    <xf numFmtId="0" fontId="2" fillId="0" borderId="0" xfId="1" applyFont="1"/>
    <xf numFmtId="0" fontId="2" fillId="0" borderId="0" xfId="1" applyFont="1" applyAlignment="1">
      <alignment horizontal="center"/>
    </xf>
    <xf numFmtId="4" fontId="2" fillId="0" borderId="0" xfId="1" applyNumberFormat="1" applyFont="1"/>
    <xf numFmtId="164" fontId="2" fillId="0" borderId="0" xfId="1" applyNumberFormat="1" applyFont="1" applyAlignment="1">
      <alignment horizontal="center"/>
    </xf>
    <xf numFmtId="0" fontId="3" fillId="0" borderId="0" xfId="1" applyFont="1" applyAlignment="1">
      <alignment horizontal="left"/>
    </xf>
    <xf numFmtId="0" fontId="3" fillId="0" borderId="0" xfId="1" applyFont="1"/>
    <xf numFmtId="0" fontId="20" fillId="0" borderId="0" xfId="0" applyFont="1"/>
    <xf numFmtId="0" fontId="17" fillId="0" borderId="0" xfId="0" applyFont="1"/>
    <xf numFmtId="169" fontId="21" fillId="0" borderId="0" xfId="0" applyNumberFormat="1" applyFont="1"/>
    <xf numFmtId="0" fontId="21" fillId="0" borderId="0" xfId="0" applyFont="1"/>
    <xf numFmtId="0" fontId="22" fillId="0" borderId="0" xfId="0" applyFont="1"/>
    <xf numFmtId="0" fontId="6" fillId="0" borderId="0" xfId="1" applyFont="1" applyAlignment="1">
      <alignment vertical="center"/>
    </xf>
    <xf numFmtId="0" fontId="6" fillId="0" borderId="0" xfId="3" applyFont="1" applyAlignment="1">
      <alignment vertical="center"/>
    </xf>
    <xf numFmtId="0" fontId="8" fillId="0" borderId="0" xfId="1" applyFont="1" applyAlignment="1">
      <alignment horizontal="centerContinuous" vertical="center"/>
    </xf>
    <xf numFmtId="0" fontId="8" fillId="0" borderId="0" xfId="1" applyFont="1" applyAlignment="1">
      <alignment vertical="center"/>
    </xf>
    <xf numFmtId="0" fontId="13" fillId="0" borderId="0" xfId="1" applyFont="1" applyAlignment="1">
      <alignment vertical="center"/>
    </xf>
    <xf numFmtId="0" fontId="16" fillId="0" borderId="0" xfId="1" applyFont="1" applyAlignment="1">
      <alignment vertical="center"/>
    </xf>
    <xf numFmtId="166" fontId="8" fillId="0" borderId="0" xfId="1" applyNumberFormat="1" applyFont="1" applyAlignment="1">
      <alignment horizontal="center" vertical="center"/>
    </xf>
    <xf numFmtId="0" fontId="9" fillId="0" borderId="0" xfId="1" applyFont="1" applyAlignment="1">
      <alignment horizontal="left" vertical="center"/>
    </xf>
    <xf numFmtId="0" fontId="9" fillId="0" borderId="0" xfId="1" applyFont="1" applyAlignment="1">
      <alignment vertical="center"/>
    </xf>
    <xf numFmtId="0" fontId="8" fillId="0" borderId="0" xfId="1" applyFont="1" applyAlignment="1">
      <alignment horizontal="left" vertical="center"/>
    </xf>
    <xf numFmtId="0" fontId="2" fillId="0" borderId="0" xfId="1" applyFont="1" applyAlignment="1" applyProtection="1">
      <alignment horizontal="left"/>
      <protection locked="0"/>
    </xf>
    <xf numFmtId="0" fontId="2" fillId="0" borderId="0" xfId="1" applyFont="1" applyProtection="1">
      <protection locked="0"/>
    </xf>
    <xf numFmtId="0" fontId="2" fillId="0" borderId="0" xfId="1" applyFont="1" applyAlignment="1" applyProtection="1">
      <alignment horizontal="centerContinuous"/>
      <protection locked="0"/>
    </xf>
    <xf numFmtId="0" fontId="2" fillId="0" borderId="0" xfId="1" applyFont="1" applyAlignment="1" applyProtection="1">
      <alignment horizontal="center"/>
      <protection locked="0"/>
    </xf>
    <xf numFmtId="0" fontId="2" fillId="0" borderId="0" xfId="1" applyFont="1" applyAlignment="1" applyProtection="1">
      <alignment horizontal="right"/>
      <protection locked="0"/>
    </xf>
    <xf numFmtId="0" fontId="4" fillId="0" borderId="1" xfId="1" applyFont="1" applyBorder="1" applyAlignment="1" applyProtection="1">
      <alignment vertical="center" shrinkToFit="1"/>
      <protection locked="0"/>
    </xf>
    <xf numFmtId="0" fontId="2" fillId="2" borderId="0" xfId="1" applyFont="1" applyFill="1" applyAlignment="1" applyProtection="1">
      <alignment horizontal="left"/>
      <protection locked="0"/>
    </xf>
    <xf numFmtId="0" fontId="4" fillId="0" borderId="0" xfId="1" applyFont="1" applyAlignment="1" applyProtection="1">
      <alignment vertical="center" shrinkToFit="1"/>
      <protection locked="0"/>
    </xf>
    <xf numFmtId="0" fontId="2" fillId="0" borderId="5" xfId="1" applyFont="1" applyBorder="1" applyAlignment="1" applyProtection="1">
      <alignment horizontal="center"/>
      <protection locked="0"/>
    </xf>
    <xf numFmtId="0" fontId="2" fillId="0" borderId="8" xfId="1" applyFont="1" applyBorder="1" applyAlignment="1" applyProtection="1">
      <alignment horizontal="center"/>
      <protection locked="0"/>
    </xf>
    <xf numFmtId="0" fontId="2" fillId="0" borderId="8" xfId="1" applyFont="1" applyBorder="1" applyProtection="1">
      <protection locked="0"/>
    </xf>
    <xf numFmtId="0" fontId="2" fillId="0" borderId="9" xfId="1" applyFont="1" applyBorder="1" applyAlignment="1" applyProtection="1">
      <alignment horizontal="center"/>
      <protection locked="0"/>
    </xf>
    <xf numFmtId="0" fontId="2" fillId="0" borderId="10" xfId="1" quotePrefix="1" applyFont="1" applyBorder="1" applyAlignment="1" applyProtection="1">
      <alignment horizontal="left"/>
      <protection locked="0"/>
    </xf>
    <xf numFmtId="0" fontId="2" fillId="0" borderId="10" xfId="1" quotePrefix="1" applyFont="1" applyBorder="1" applyProtection="1">
      <protection locked="0"/>
    </xf>
    <xf numFmtId="0" fontId="2" fillId="0" borderId="11" xfId="1" quotePrefix="1" applyFont="1" applyBorder="1" applyProtection="1">
      <protection locked="0"/>
    </xf>
    <xf numFmtId="168" fontId="2" fillId="0" borderId="12" xfId="1" applyNumberFormat="1" applyFont="1" applyBorder="1" applyAlignment="1" applyProtection="1">
      <alignment horizontal="center"/>
      <protection locked="0"/>
    </xf>
    <xf numFmtId="4" fontId="2" fillId="0" borderId="0" xfId="2" applyNumberFormat="1" applyFont="1" applyFill="1" applyBorder="1" applyProtection="1">
      <protection locked="0"/>
    </xf>
    <xf numFmtId="0" fontId="2" fillId="0" borderId="11" xfId="1" quotePrefix="1" applyFont="1" applyBorder="1" applyAlignment="1" applyProtection="1">
      <alignment horizontal="left"/>
      <protection locked="0"/>
    </xf>
    <xf numFmtId="0" fontId="2" fillId="0" borderId="16" xfId="1" applyFont="1" applyBorder="1" applyProtection="1">
      <protection locked="0"/>
    </xf>
    <xf numFmtId="0" fontId="2" fillId="0" borderId="13" xfId="1" applyFont="1" applyBorder="1" applyProtection="1">
      <protection locked="0"/>
    </xf>
    <xf numFmtId="0" fontId="2" fillId="0" borderId="14" xfId="1" applyFont="1" applyBorder="1" applyProtection="1">
      <protection locked="0"/>
    </xf>
    <xf numFmtId="4" fontId="2" fillId="0" borderId="0" xfId="1" applyNumberFormat="1" applyFont="1" applyProtection="1">
      <protection locked="0"/>
    </xf>
    <xf numFmtId="0" fontId="2" fillId="0" borderId="6" xfId="1" applyFont="1" applyBorder="1" applyProtection="1">
      <protection locked="0"/>
    </xf>
    <xf numFmtId="0" fontId="2" fillId="0" borderId="1" xfId="1" applyFont="1" applyBorder="1" applyProtection="1">
      <protection locked="0"/>
    </xf>
    <xf numFmtId="0" fontId="2" fillId="0" borderId="7" xfId="1" applyFont="1" applyBorder="1" applyProtection="1">
      <protection locked="0"/>
    </xf>
    <xf numFmtId="168" fontId="2" fillId="0" borderId="8" xfId="1" applyNumberFormat="1" applyFont="1" applyBorder="1" applyProtection="1">
      <protection locked="0"/>
    </xf>
    <xf numFmtId="164" fontId="2" fillId="0" borderId="0" xfId="1" applyNumberFormat="1" applyFont="1" applyProtection="1">
      <protection locked="0"/>
    </xf>
    <xf numFmtId="0" fontId="2" fillId="0" borderId="9" xfId="1" applyFont="1" applyBorder="1" applyProtection="1">
      <protection locked="0"/>
    </xf>
    <xf numFmtId="0" fontId="2" fillId="0" borderId="10" xfId="1" applyFont="1" applyBorder="1" applyProtection="1">
      <protection locked="0"/>
    </xf>
    <xf numFmtId="0" fontId="2" fillId="0" borderId="11" xfId="1" applyFont="1" applyBorder="1" applyProtection="1">
      <protection locked="0"/>
    </xf>
    <xf numFmtId="0" fontId="2" fillId="0" borderId="2" xfId="1" applyFont="1" applyBorder="1" applyProtection="1">
      <protection locked="0"/>
    </xf>
    <xf numFmtId="0" fontId="2" fillId="0" borderId="3" xfId="1" applyFont="1" applyBorder="1" applyProtection="1">
      <protection locked="0"/>
    </xf>
    <xf numFmtId="0" fontId="2" fillId="0" borderId="4" xfId="1" applyFont="1" applyBorder="1" applyProtection="1">
      <protection locked="0"/>
    </xf>
    <xf numFmtId="0" fontId="6" fillId="0" borderId="0" xfId="1" applyFont="1" applyAlignment="1" applyProtection="1">
      <alignment vertical="center"/>
      <protection locked="0"/>
    </xf>
    <xf numFmtId="0" fontId="12" fillId="0" borderId="0" xfId="1" applyFont="1" applyAlignment="1" applyProtection="1">
      <alignment vertical="center"/>
      <protection locked="0"/>
    </xf>
    <xf numFmtId="0" fontId="6" fillId="0" borderId="0" xfId="3" applyFont="1" applyAlignment="1" applyProtection="1">
      <alignment vertical="center"/>
      <protection locked="0"/>
    </xf>
    <xf numFmtId="0" fontId="6" fillId="0" borderId="0" xfId="3" applyFont="1" applyAlignment="1" applyProtection="1">
      <alignment horizontal="center" vertical="center"/>
      <protection locked="0"/>
    </xf>
    <xf numFmtId="0" fontId="12" fillId="0" borderId="0" xfId="3" applyFont="1" applyAlignment="1" applyProtection="1">
      <alignment vertical="center"/>
      <protection locked="0"/>
    </xf>
    <xf numFmtId="0" fontId="16" fillId="0" borderId="0" xfId="1" applyFont="1" applyAlignment="1" applyProtection="1">
      <alignment horizontal="centerContinuous" vertical="center"/>
      <protection locked="0"/>
    </xf>
    <xf numFmtId="0" fontId="12" fillId="0" borderId="0" xfId="1" applyFont="1" applyAlignment="1" applyProtection="1">
      <alignment horizontal="centerContinuous" vertical="center"/>
      <protection locked="0"/>
    </xf>
    <xf numFmtId="0" fontId="6" fillId="0" borderId="6" xfId="1" applyFont="1" applyBorder="1" applyAlignment="1" applyProtection="1">
      <alignment horizontal="centerContinuous" vertical="center"/>
      <protection locked="0"/>
    </xf>
    <xf numFmtId="0" fontId="6" fillId="0" borderId="12" xfId="1" applyFont="1" applyBorder="1" applyAlignment="1" applyProtection="1">
      <alignment horizontal="center" vertical="center"/>
      <protection locked="0"/>
    </xf>
    <xf numFmtId="2" fontId="7" fillId="0" borderId="19" xfId="1" applyNumberFormat="1" applyFont="1" applyBorder="1" applyAlignment="1" applyProtection="1">
      <alignment horizontal="center" vertical="center"/>
      <protection locked="0"/>
    </xf>
    <xf numFmtId="0" fontId="7" fillId="0" borderId="20" xfId="1" applyFont="1" applyBorder="1" applyAlignment="1" applyProtection="1">
      <alignment horizontal="center" vertical="center" shrinkToFit="1"/>
      <protection locked="0"/>
    </xf>
    <xf numFmtId="0" fontId="7" fillId="0" borderId="20" xfId="5" applyFont="1" applyBorder="1" applyAlignment="1" applyProtection="1">
      <alignment horizontal="center" vertical="center"/>
      <protection locked="0"/>
    </xf>
    <xf numFmtId="2" fontId="12" fillId="0" borderId="0" xfId="1" applyNumberFormat="1" applyFont="1" applyAlignment="1" applyProtection="1">
      <alignment vertical="center"/>
      <protection locked="0"/>
    </xf>
    <xf numFmtId="2" fontId="7" fillId="0" borderId="19" xfId="1" quotePrefix="1" applyNumberFormat="1" applyFont="1" applyBorder="1" applyAlignment="1" applyProtection="1">
      <alignment horizontal="center" vertical="center"/>
      <protection locked="0"/>
    </xf>
    <xf numFmtId="0" fontId="8" fillId="0" borderId="9" xfId="1" applyFont="1" applyBorder="1" applyAlignment="1" applyProtection="1">
      <alignment horizontal="center" vertical="center"/>
      <protection locked="0"/>
    </xf>
    <xf numFmtId="2" fontId="8" fillId="0" borderId="10" xfId="1" applyNumberFormat="1" applyFont="1" applyBorder="1" applyAlignment="1" applyProtection="1">
      <alignment horizontal="center" vertical="center"/>
      <protection locked="0"/>
    </xf>
    <xf numFmtId="2" fontId="8" fillId="0" borderId="10" xfId="1" applyNumberFormat="1" applyFont="1" applyBorder="1" applyAlignment="1" applyProtection="1">
      <alignment vertical="center"/>
      <protection locked="0"/>
    </xf>
    <xf numFmtId="0" fontId="8" fillId="0" borderId="10" xfId="1" applyFont="1" applyBorder="1" applyAlignment="1" applyProtection="1">
      <alignment vertical="center" shrinkToFit="1"/>
      <protection locked="0"/>
    </xf>
    <xf numFmtId="0" fontId="10" fillId="0" borderId="10" xfId="1" applyFont="1" applyBorder="1" applyAlignment="1" applyProtection="1">
      <alignment vertical="center" shrinkToFit="1"/>
      <protection locked="0"/>
    </xf>
    <xf numFmtId="0" fontId="8" fillId="0" borderId="11" xfId="1" applyFont="1" applyBorder="1" applyAlignment="1" applyProtection="1">
      <alignment vertical="center" shrinkToFit="1"/>
      <protection locked="0"/>
    </xf>
    <xf numFmtId="166" fontId="6" fillId="0" borderId="12" xfId="1" applyNumberFormat="1" applyFont="1" applyBorder="1" applyAlignment="1" applyProtection="1">
      <alignment horizontal="center" vertical="center"/>
      <protection locked="0"/>
    </xf>
    <xf numFmtId="0" fontId="16" fillId="0" borderId="23" xfId="1" applyFont="1" applyBorder="1" applyAlignment="1" applyProtection="1">
      <alignment vertical="center"/>
      <protection locked="0"/>
    </xf>
    <xf numFmtId="0" fontId="8" fillId="0" borderId="0" xfId="1" applyFont="1" applyAlignment="1" applyProtection="1">
      <alignment vertical="center"/>
      <protection locked="0"/>
    </xf>
    <xf numFmtId="0" fontId="18" fillId="0" borderId="0" xfId="1" applyFont="1" applyAlignment="1" applyProtection="1">
      <alignment horizontal="center" vertical="center"/>
      <protection locked="0"/>
    </xf>
    <xf numFmtId="0" fontId="18" fillId="0" borderId="0" xfId="3" applyFont="1" applyAlignment="1" applyProtection="1">
      <alignment horizontal="center" vertical="center"/>
      <protection locked="0"/>
    </xf>
    <xf numFmtId="0" fontId="8" fillId="0" borderId="0" xfId="1" applyFont="1" applyAlignment="1" applyProtection="1">
      <alignment horizontal="centerContinuous" vertical="center"/>
      <protection locked="0"/>
    </xf>
    <xf numFmtId="0" fontId="19" fillId="0" borderId="0" xfId="1" applyFont="1" applyAlignment="1" applyProtection="1">
      <alignment horizontal="center" vertical="center"/>
      <protection locked="0"/>
    </xf>
    <xf numFmtId="0" fontId="13" fillId="0" borderId="0" xfId="1" applyFont="1" applyAlignment="1" applyProtection="1">
      <alignment vertical="center"/>
      <protection locked="0"/>
    </xf>
    <xf numFmtId="0" fontId="2" fillId="0" borderId="10" xfId="1" applyFont="1" applyBorder="1" applyAlignment="1">
      <alignment horizontal="left"/>
    </xf>
    <xf numFmtId="0" fontId="2" fillId="0" borderId="10" xfId="1" quotePrefix="1" applyFont="1" applyBorder="1"/>
    <xf numFmtId="168" fontId="2" fillId="0" borderId="12" xfId="1" applyNumberFormat="1" applyFont="1" applyBorder="1" applyAlignment="1">
      <alignment horizontal="center"/>
    </xf>
    <xf numFmtId="168" fontId="2" fillId="0" borderId="12" xfId="2" applyNumberFormat="1" applyFont="1" applyFill="1" applyBorder="1" applyProtection="1"/>
    <xf numFmtId="168" fontId="2" fillId="0" borderId="12" xfId="1" quotePrefix="1" applyNumberFormat="1" applyFont="1" applyBorder="1" applyAlignment="1">
      <alignment horizontal="center"/>
    </xf>
    <xf numFmtId="0" fontId="2" fillId="0" borderId="10" xfId="1" quotePrefix="1" applyFont="1" applyBorder="1" applyAlignment="1">
      <alignment horizontal="left"/>
    </xf>
    <xf numFmtId="168" fontId="2" fillId="0" borderId="5" xfId="1" applyNumberFormat="1" applyFont="1" applyBorder="1" applyAlignment="1">
      <alignment horizontal="center"/>
    </xf>
    <xf numFmtId="168" fontId="2" fillId="0" borderId="15" xfId="1" applyNumberFormat="1" applyFont="1" applyBorder="1" applyAlignment="1">
      <alignment horizontal="center"/>
    </xf>
    <xf numFmtId="168" fontId="2" fillId="0" borderId="15" xfId="1" applyNumberFormat="1" applyFont="1" applyBorder="1"/>
    <xf numFmtId="168" fontId="2" fillId="0" borderId="22" xfId="1" applyNumberFormat="1" applyFont="1" applyBorder="1" applyAlignment="1">
      <alignment horizontal="center"/>
    </xf>
    <xf numFmtId="168" fontId="2" fillId="0" borderId="15" xfId="2" applyNumberFormat="1" applyFont="1" applyFill="1" applyBorder="1" applyProtection="1"/>
    <xf numFmtId="0" fontId="7" fillId="0" borderId="19" xfId="1" applyFont="1" applyBorder="1" applyAlignment="1">
      <alignment horizontal="center" vertical="center"/>
    </xf>
    <xf numFmtId="166" fontId="7" fillId="0" borderId="19" xfId="1" applyNumberFormat="1" applyFont="1" applyBorder="1" applyAlignment="1">
      <alignment horizontal="center" vertical="center"/>
    </xf>
    <xf numFmtId="166" fontId="7" fillId="0" borderId="19" xfId="1" applyNumberFormat="1" applyFont="1" applyBorder="1" applyAlignment="1">
      <alignment horizontal="center"/>
    </xf>
    <xf numFmtId="166" fontId="6" fillId="0" borderId="12" xfId="1" applyNumberFormat="1" applyFont="1" applyBorder="1" applyAlignment="1">
      <alignment horizontal="center" vertical="center"/>
    </xf>
    <xf numFmtId="2" fontId="7" fillId="0" borderId="19" xfId="1" applyNumberFormat="1" applyFont="1" applyBorder="1" applyAlignment="1">
      <alignment horizontal="center" vertical="center"/>
    </xf>
    <xf numFmtId="0" fontId="7" fillId="0" borderId="20" xfId="5" applyFont="1" applyBorder="1" applyAlignment="1">
      <alignment horizontal="center" vertical="center"/>
    </xf>
    <xf numFmtId="0" fontId="12" fillId="0" borderId="0" xfId="1" applyFont="1" applyAlignment="1">
      <alignment vertical="center"/>
    </xf>
    <xf numFmtId="2" fontId="12" fillId="0" borderId="0" xfId="1" applyNumberFormat="1" applyFont="1" applyAlignment="1">
      <alignment vertical="center"/>
    </xf>
    <xf numFmtId="2" fontId="7" fillId="0" borderId="19" xfId="1" quotePrefix="1" applyNumberFormat="1" applyFont="1" applyBorder="1" applyAlignment="1">
      <alignment horizontal="center" vertical="center"/>
    </xf>
    <xf numFmtId="0" fontId="2" fillId="0" borderId="0" xfId="1" applyFont="1" applyAlignment="1" applyProtection="1">
      <alignment horizontal="center"/>
      <protection locked="0"/>
    </xf>
    <xf numFmtId="0" fontId="2" fillId="0" borderId="1" xfId="1" applyFont="1" applyBorder="1" applyAlignment="1" applyProtection="1">
      <alignment horizontal="center"/>
      <protection locked="0"/>
    </xf>
    <xf numFmtId="0" fontId="2" fillId="2" borderId="1" xfId="1" applyFont="1" applyFill="1" applyBorder="1" applyAlignment="1" applyProtection="1">
      <alignment horizontal="center" vertical="center" shrinkToFit="1"/>
      <protection locked="0"/>
    </xf>
    <xf numFmtId="0" fontId="2" fillId="0" borderId="2" xfId="1" applyFont="1" applyBorder="1" applyAlignment="1" applyProtection="1">
      <alignment horizontal="center"/>
      <protection locked="0"/>
    </xf>
    <xf numFmtId="0" fontId="2" fillId="0" borderId="3" xfId="1" applyFont="1" applyBorder="1" applyAlignment="1" applyProtection="1">
      <alignment horizontal="center"/>
      <protection locked="0"/>
    </xf>
    <xf numFmtId="0" fontId="2" fillId="0" borderId="4" xfId="1" applyFont="1" applyBorder="1" applyAlignment="1" applyProtection="1">
      <alignment horizontal="center"/>
      <protection locked="0"/>
    </xf>
    <xf numFmtId="0" fontId="2" fillId="0" borderId="6" xfId="1" applyFont="1" applyBorder="1" applyAlignment="1" applyProtection="1">
      <alignment horizontal="left"/>
      <protection locked="0"/>
    </xf>
    <xf numFmtId="0" fontId="2" fillId="0" borderId="1" xfId="1" applyFont="1" applyBorder="1" applyAlignment="1" applyProtection="1">
      <alignment horizontal="left"/>
      <protection locked="0"/>
    </xf>
    <xf numFmtId="0" fontId="2" fillId="0" borderId="7" xfId="1" applyFont="1" applyBorder="1" applyAlignment="1" applyProtection="1">
      <alignment horizontal="left"/>
      <protection locked="0"/>
    </xf>
    <xf numFmtId="0" fontId="2" fillId="0" borderId="10" xfId="1" applyFont="1" applyBorder="1" applyAlignment="1">
      <alignment horizontal="left"/>
    </xf>
    <xf numFmtId="0" fontId="2" fillId="0" borderId="10" xfId="1" quotePrefix="1" applyFont="1" applyBorder="1" applyAlignment="1" applyProtection="1">
      <alignment horizontal="left"/>
      <protection locked="0"/>
    </xf>
    <xf numFmtId="0" fontId="2" fillId="0" borderId="11" xfId="1" quotePrefix="1" applyFont="1" applyBorder="1" applyAlignment="1" applyProtection="1">
      <alignment horizontal="left"/>
      <protection locked="0"/>
    </xf>
    <xf numFmtId="0" fontId="7" fillId="0" borderId="18" xfId="5" applyFont="1" applyBorder="1" applyAlignment="1" applyProtection="1">
      <alignment horizontal="center" vertical="center"/>
      <protection locked="0"/>
    </xf>
    <xf numFmtId="0" fontId="7" fillId="0" borderId="21" xfId="5" applyFont="1" applyBorder="1" applyAlignment="1" applyProtection="1">
      <alignment horizontal="center" vertical="center"/>
      <protection locked="0"/>
    </xf>
    <xf numFmtId="1" fontId="7" fillId="0" borderId="20" xfId="1" applyNumberFormat="1" applyFont="1" applyBorder="1" applyAlignment="1">
      <alignment horizontal="center" vertical="center"/>
    </xf>
    <xf numFmtId="1" fontId="7" fillId="0" borderId="21" xfId="1" applyNumberFormat="1" applyFont="1" applyBorder="1" applyAlignment="1" applyProtection="1">
      <alignment horizontal="center" vertical="center"/>
      <protection locked="0"/>
    </xf>
    <xf numFmtId="2" fontId="7" fillId="0" borderId="20" xfId="1" applyNumberFormat="1" applyFont="1" applyBorder="1" applyAlignment="1" applyProtection="1">
      <alignment horizontal="center" vertical="center"/>
      <protection locked="0"/>
    </xf>
    <xf numFmtId="2" fontId="7" fillId="0" borderId="21" xfId="1" applyNumberFormat="1" applyFont="1" applyBorder="1" applyAlignment="1" applyProtection="1">
      <alignment horizontal="center" vertical="center"/>
      <protection locked="0"/>
    </xf>
    <xf numFmtId="0" fontId="7" fillId="0" borderId="20" xfId="1" applyFont="1" applyBorder="1" applyAlignment="1" applyProtection="1">
      <alignment horizontal="center" vertical="center" shrinkToFit="1"/>
      <protection locked="0"/>
    </xf>
    <xf numFmtId="0" fontId="7" fillId="0" borderId="18" xfId="1" applyFont="1" applyBorder="1" applyAlignment="1" applyProtection="1">
      <alignment horizontal="center" vertical="center" shrinkToFit="1"/>
      <protection locked="0"/>
    </xf>
    <xf numFmtId="0" fontId="7" fillId="0" borderId="21" xfId="1" applyFont="1" applyBorder="1" applyAlignment="1" applyProtection="1">
      <alignment horizontal="center" vertical="center" shrinkToFit="1"/>
      <protection locked="0"/>
    </xf>
    <xf numFmtId="0" fontId="7" fillId="0" borderId="20" xfId="1" applyFont="1" applyBorder="1" applyAlignment="1">
      <alignment horizontal="center" vertical="center" shrinkToFit="1"/>
    </xf>
    <xf numFmtId="2" fontId="7" fillId="0" borderId="20" xfId="1" quotePrefix="1" applyNumberFormat="1" applyFont="1" applyBorder="1" applyAlignment="1" applyProtection="1">
      <alignment horizontal="center" vertical="center"/>
      <protection locked="0"/>
    </xf>
    <xf numFmtId="2" fontId="7" fillId="0" borderId="21" xfId="1" quotePrefix="1" applyNumberFormat="1" applyFont="1" applyBorder="1" applyAlignment="1" applyProtection="1">
      <alignment horizontal="center" vertical="center"/>
      <protection locked="0"/>
    </xf>
    <xf numFmtId="167" fontId="8" fillId="0" borderId="0" xfId="1" applyNumberFormat="1" applyFont="1" applyAlignment="1">
      <alignment horizontal="center" vertical="center"/>
    </xf>
    <xf numFmtId="166" fontId="6" fillId="0" borderId="9" xfId="1" applyNumberFormat="1" applyFont="1" applyBorder="1" applyAlignment="1">
      <alignment horizontal="center" vertical="center"/>
    </xf>
    <xf numFmtId="166" fontId="6" fillId="0" borderId="11" xfId="1" applyNumberFormat="1" applyFont="1" applyBorder="1" applyAlignment="1" applyProtection="1">
      <alignment horizontal="center" vertical="center"/>
      <protection locked="0"/>
    </xf>
    <xf numFmtId="0" fontId="6" fillId="0" borderId="0" xfId="1" applyFont="1" applyAlignment="1" applyProtection="1">
      <alignment horizontal="center" vertical="center"/>
      <protection locked="0"/>
    </xf>
    <xf numFmtId="0" fontId="7" fillId="2" borderId="17" xfId="1" applyFont="1" applyFill="1" applyBorder="1" applyAlignment="1">
      <alignment horizontal="center" vertical="center" shrinkToFit="1"/>
    </xf>
    <xf numFmtId="0" fontId="7" fillId="2" borderId="17" xfId="1" applyFont="1" applyFill="1" applyBorder="1" applyAlignment="1" applyProtection="1">
      <alignment horizontal="center" vertical="center" shrinkToFit="1"/>
      <protection locked="0"/>
    </xf>
    <xf numFmtId="0" fontId="7" fillId="0" borderId="17" xfId="3" applyFont="1" applyBorder="1" applyAlignment="1">
      <alignment horizontal="center" vertical="center" shrinkToFit="1"/>
    </xf>
    <xf numFmtId="0" fontId="7" fillId="0" borderId="17" xfId="3" applyFont="1" applyBorder="1" applyAlignment="1" applyProtection="1">
      <alignment horizontal="center" vertical="center" shrinkToFit="1"/>
      <protection locked="0"/>
    </xf>
    <xf numFmtId="0" fontId="7" fillId="2" borderId="0" xfId="3" applyFont="1" applyFill="1" applyAlignment="1">
      <alignment horizontal="center" vertical="center" shrinkToFit="1"/>
    </xf>
    <xf numFmtId="0" fontId="7" fillId="2" borderId="0" xfId="3" applyFont="1" applyFill="1" applyAlignment="1" applyProtection="1">
      <alignment horizontal="center" vertical="center" shrinkToFit="1"/>
      <protection locked="0"/>
    </xf>
    <xf numFmtId="0" fontId="6" fillId="0" borderId="0" xfId="3" applyFont="1" applyAlignment="1" applyProtection="1">
      <alignment horizontal="center" vertical="center"/>
      <protection locked="0"/>
    </xf>
    <xf numFmtId="0" fontId="6" fillId="0" borderId="18" xfId="3" applyFont="1" applyBorder="1" applyAlignment="1" applyProtection="1">
      <alignment horizontal="center" vertical="center" shrinkToFit="1"/>
      <protection locked="0"/>
    </xf>
    <xf numFmtId="0" fontId="8" fillId="0" borderId="1" xfId="1" applyFont="1" applyBorder="1" applyAlignment="1" applyProtection="1">
      <alignment horizontal="center" vertical="center"/>
      <protection locked="0"/>
    </xf>
    <xf numFmtId="0" fontId="6" fillId="0" borderId="5" xfId="1" applyFont="1" applyBorder="1" applyAlignment="1" applyProtection="1">
      <alignment horizontal="center" vertical="center"/>
      <protection locked="0"/>
    </xf>
    <xf numFmtId="0" fontId="6" fillId="0" borderId="8" xfId="1" applyFont="1" applyBorder="1" applyAlignment="1" applyProtection="1">
      <alignment horizontal="center" vertical="center"/>
      <protection locked="0"/>
    </xf>
    <xf numFmtId="0" fontId="6" fillId="0" borderId="9" xfId="1" applyFont="1" applyBorder="1" applyAlignment="1" applyProtection="1">
      <alignment horizontal="center" vertical="center"/>
      <protection locked="0"/>
    </xf>
    <xf numFmtId="0" fontId="6" fillId="0" borderId="10" xfId="1" applyFont="1" applyBorder="1" applyAlignment="1" applyProtection="1">
      <alignment horizontal="center" vertical="center"/>
      <protection locked="0"/>
    </xf>
    <xf numFmtId="0" fontId="6" fillId="0" borderId="11" xfId="1" applyFont="1" applyBorder="1" applyAlignment="1" applyProtection="1">
      <alignment horizontal="center" vertical="center"/>
      <protection locked="0"/>
    </xf>
    <xf numFmtId="0" fontId="6" fillId="0" borderId="2" xfId="1" applyFont="1" applyBorder="1" applyAlignment="1" applyProtection="1">
      <alignment horizontal="center" vertical="center"/>
      <protection locked="0"/>
    </xf>
    <xf numFmtId="0" fontId="6" fillId="0" borderId="3" xfId="1" applyFont="1" applyBorder="1" applyAlignment="1" applyProtection="1">
      <alignment horizontal="center" vertical="center"/>
      <protection locked="0"/>
    </xf>
    <xf numFmtId="0" fontId="6" fillId="0" borderId="4" xfId="1" applyFont="1" applyBorder="1" applyAlignment="1" applyProtection="1">
      <alignment horizontal="center" vertical="center"/>
      <protection locked="0"/>
    </xf>
    <xf numFmtId="0" fontId="6" fillId="0" borderId="6" xfId="1" applyFont="1" applyBorder="1" applyAlignment="1" applyProtection="1">
      <alignment horizontal="center" vertical="center"/>
      <protection locked="0"/>
    </xf>
    <xf numFmtId="0" fontId="6" fillId="0" borderId="1" xfId="1" applyFont="1" applyBorder="1" applyAlignment="1" applyProtection="1">
      <alignment horizontal="center" vertical="center"/>
      <protection locked="0"/>
    </xf>
    <xf numFmtId="0" fontId="6" fillId="0" borderId="7" xfId="1" applyFont="1" applyBorder="1" applyAlignment="1" applyProtection="1">
      <alignment horizontal="center" vertical="center"/>
      <protection locked="0"/>
    </xf>
    <xf numFmtId="0" fontId="7" fillId="0" borderId="24" xfId="5" applyFont="1" applyBorder="1" applyAlignment="1" applyProtection="1">
      <alignment horizontal="center" vertical="center"/>
      <protection locked="0"/>
    </xf>
    <xf numFmtId="0" fontId="7" fillId="0" borderId="25" xfId="5" applyFont="1" applyBorder="1" applyAlignment="1" applyProtection="1">
      <alignment horizontal="center" vertical="center"/>
      <protection locked="0"/>
    </xf>
    <xf numFmtId="2" fontId="7" fillId="0" borderId="20" xfId="1" applyNumberFormat="1" applyFont="1" applyBorder="1" applyAlignment="1">
      <alignment horizontal="center" vertical="center"/>
    </xf>
    <xf numFmtId="0" fontId="7" fillId="0" borderId="18" xfId="5" applyFont="1" applyBorder="1" applyAlignment="1">
      <alignment horizontal="center" vertical="center"/>
    </xf>
    <xf numFmtId="2" fontId="7" fillId="0" borderId="20" xfId="1" quotePrefix="1" applyNumberFormat="1" applyFont="1" applyBorder="1" applyAlignment="1">
      <alignment horizontal="center" vertical="center"/>
    </xf>
    <xf numFmtId="0" fontId="7" fillId="0" borderId="3" xfId="5" applyFont="1" applyBorder="1" applyAlignment="1">
      <alignment horizontal="center" vertical="center"/>
    </xf>
    <xf numFmtId="0" fontId="7" fillId="0" borderId="3" xfId="5" applyFont="1" applyBorder="1" applyAlignment="1" applyProtection="1">
      <alignment horizontal="center" vertical="center"/>
      <protection locked="0"/>
    </xf>
    <xf numFmtId="0" fontId="7" fillId="0" borderId="4" xfId="5" applyFont="1" applyBorder="1" applyAlignment="1" applyProtection="1">
      <alignment horizontal="center" vertical="center"/>
      <protection locked="0"/>
    </xf>
    <xf numFmtId="0" fontId="2" fillId="0" borderId="10" xfId="1" applyFont="1" applyBorder="1" applyAlignment="1" applyProtection="1">
      <alignment horizontal="left"/>
      <protection locked="0"/>
    </xf>
    <xf numFmtId="0" fontId="2" fillId="0" borderId="10" xfId="1" quotePrefix="1" applyFont="1" applyBorder="1" applyAlignment="1">
      <alignment horizontal="left"/>
    </xf>
  </cellXfs>
  <cellStyles count="9">
    <cellStyle name="Comma 2" xfId="6" xr:uid="{A581DA3B-390A-4EED-A57B-96B3844E8417}"/>
    <cellStyle name="Comma 2 2" xfId="2" xr:uid="{F66CCFE2-7E8A-412A-981B-89BD100872AF}"/>
    <cellStyle name="Comma 2 2 2" xfId="8" xr:uid="{2D62B201-DD26-4A5E-82C3-18D341728502}"/>
    <cellStyle name="Comma 2 3" xfId="7" xr:uid="{D1F83704-E2B4-4AD7-8F42-D51514E8BA4D}"/>
    <cellStyle name="Normal" xfId="0" builtinId="0"/>
    <cellStyle name="Normal 2" xfId="1" xr:uid="{70743A1E-185C-4324-A28E-781BE275345C}"/>
    <cellStyle name="Normal 3" xfId="5" xr:uid="{82510309-3E07-42CF-9DE4-07C7ED0DD09F}"/>
    <cellStyle name="ปกติ 2" xfId="3" xr:uid="{EAEDF02F-ECBF-4426-9928-E218B776EFCB}"/>
    <cellStyle name="ปกติ 2 2" xfId="4" xr:uid="{EA055A70-0DC7-4FE9-BA1E-0BF9AB72EDCC}"/>
  </cellStyles>
  <dxfs count="7">
    <dxf>
      <fill>
        <patternFill patternType="solid">
          <fgColor indexed="64"/>
          <bgColor rgb="FFC6EFCE"/>
        </patternFill>
      </fill>
    </dxf>
    <dxf>
      <fill>
        <patternFill patternType="solid">
          <fgColor indexed="64"/>
          <bgColor rgb="FFFFF2CC"/>
        </patternFill>
      </fill>
    </dxf>
    <dxf>
      <fill>
        <patternFill patternType="solid">
          <fgColor indexed="64"/>
          <bgColor rgb="FFFFF9E6"/>
        </patternFill>
      </fill>
    </dxf>
    <dxf>
      <fill>
        <patternFill patternType="solid">
          <fgColor indexed="64"/>
          <bgColor rgb="FFC6EFCE"/>
        </patternFill>
      </fill>
    </dxf>
    <dxf>
      <fill>
        <patternFill patternType="solid">
          <fgColor indexed="64"/>
          <bgColor rgb="FFFFF2CC"/>
        </patternFill>
      </fill>
    </dxf>
    <dxf>
      <fill>
        <patternFill patternType="solid">
          <fgColor indexed="64"/>
          <bgColor rgb="FFC6EFCE"/>
        </patternFill>
      </fill>
    </dxf>
    <dxf>
      <fill>
        <patternFill patternType="solid">
          <fgColor indexed="64"/>
          <bgColor rgb="FFFFF2CC"/>
        </patternFill>
      </fill>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xdr:from>
      <xdr:col>0</xdr:col>
      <xdr:colOff>60960</xdr:colOff>
      <xdr:row>3</xdr:row>
      <xdr:rowOff>22860</xdr:rowOff>
    </xdr:from>
    <xdr:to>
      <xdr:col>6</xdr:col>
      <xdr:colOff>15240</xdr:colOff>
      <xdr:row>5</xdr:row>
      <xdr:rowOff>0</xdr:rowOff>
    </xdr:to>
    <xdr:sp macro="" textlink="">
      <xdr:nvSpPr>
        <xdr:cNvPr id="2" name="Line 1">
          <a:extLst>
            <a:ext uri="{FF2B5EF4-FFF2-40B4-BE49-F238E27FC236}">
              <a16:creationId xmlns:a16="http://schemas.microsoft.com/office/drawing/2014/main" id="{432C2A99-7675-4F06-A053-69A336A582A5}"/>
            </a:ext>
          </a:extLst>
        </xdr:cNvPr>
        <xdr:cNvSpPr>
          <a:spLocks noChangeShapeType="1"/>
        </xdr:cNvSpPr>
      </xdr:nvSpPr>
      <xdr:spPr bwMode="auto">
        <a:xfrm>
          <a:off x="60960" y="1120140"/>
          <a:ext cx="2613660" cy="7086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7d5660be427feb6/&#25991;&#26723;/TIME-REPORT%20&#3613;&#3638;&#3585;&#3591;&#3634;&#3609;.xls" TargetMode="External"/><Relationship Id="rId1" Type="http://schemas.openxmlformats.org/officeDocument/2006/relationships/externalLinkPath" Target="https://d.docs.live.net/2c9bf626ce8bea75/Documents/TIME-REPORT%20&#3613;&#3638;&#3585;&#3591;&#3634;&#36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ME SHEET 1.67"/>
      <sheetName val="TIME REPORT 1.67"/>
      <sheetName val="TIME REPORT 1.67 เก่า"/>
      <sheetName val="TIME REPORT-OT(3) 2023"/>
      <sheetName val="ใบลา OT_ 2023"/>
      <sheetName val="TIME SHEET 2.67"/>
      <sheetName val="TIME REPORT 2.67"/>
      <sheetName val="TIME SHEET 3.67"/>
      <sheetName val="TIME REPORT 3.67"/>
      <sheetName val="รายชื่อบริษัท"/>
    </sheetNames>
    <sheetDataSet>
      <sheetData sheetId="0" refreshError="1">
        <row r="8">
          <cell r="AS8" t="str">
            <v>มกราคม</v>
          </cell>
          <cell r="AU8">
            <v>2563</v>
          </cell>
          <cell r="BA8" t="str">
            <v>Q1/66</v>
          </cell>
        </row>
        <row r="9">
          <cell r="AS9" t="str">
            <v>กุมภาพันธ์</v>
          </cell>
          <cell r="AU9">
            <v>2564</v>
          </cell>
          <cell r="BA9" t="str">
            <v>Q2/66</v>
          </cell>
        </row>
        <row r="10">
          <cell r="AS10" t="str">
            <v>มีนาคม</v>
          </cell>
          <cell r="AU10">
            <v>2565</v>
          </cell>
          <cell r="BA10" t="str">
            <v>Q3/66</v>
          </cell>
        </row>
        <row r="11">
          <cell r="AS11" t="str">
            <v>เมษายน</v>
          </cell>
          <cell r="AU11">
            <v>2566</v>
          </cell>
          <cell r="BA11" t="str">
            <v>66YE</v>
          </cell>
        </row>
        <row r="12">
          <cell r="AS12" t="str">
            <v>พฤษภาคม</v>
          </cell>
          <cell r="AU12">
            <v>2567</v>
          </cell>
          <cell r="BA12" t="str">
            <v>64YE</v>
          </cell>
        </row>
        <row r="13">
          <cell r="AS13" t="str">
            <v>มิถุนายน</v>
          </cell>
        </row>
        <row r="14">
          <cell r="AS14" t="str">
            <v>กรกฎาคม</v>
          </cell>
        </row>
        <row r="15">
          <cell r="AS15" t="str">
            <v>สิงหาคม</v>
          </cell>
        </row>
        <row r="16">
          <cell r="AS16" t="str">
            <v>กันยายน</v>
          </cell>
        </row>
        <row r="17">
          <cell r="AS17" t="str">
            <v>ตุลาคม</v>
          </cell>
        </row>
        <row r="18">
          <cell r="AS18" t="str">
            <v>พฤศจิกายน</v>
          </cell>
        </row>
        <row r="19">
          <cell r="AS19" t="str">
            <v>ธันวาคม</v>
          </cell>
        </row>
      </sheetData>
      <sheetData sheetId="1" refreshError="1"/>
      <sheetData sheetId="2" refreshError="1"/>
      <sheetData sheetId="3" refreshError="1"/>
      <sheetData sheetId="4" refreshError="1"/>
      <sheetData sheetId="5" refreshError="1">
        <row r="3">
          <cell r="C3" t="str">
            <v>กุมภาพันธ์</v>
          </cell>
        </row>
        <row r="8">
          <cell r="AS8" t="str">
            <v>มกราคม</v>
          </cell>
          <cell r="AU8">
            <v>2563</v>
          </cell>
          <cell r="AY8" t="str">
            <v>OFFICE</v>
          </cell>
          <cell r="BA8" t="str">
            <v>Q1/66</v>
          </cell>
        </row>
        <row r="9">
          <cell r="AS9" t="str">
            <v>กุมภาพันธ์</v>
          </cell>
          <cell r="AU9">
            <v>2564</v>
          </cell>
          <cell r="AY9" t="str">
            <v>ลาป่วย</v>
          </cell>
          <cell r="BA9" t="str">
            <v>Q2/66</v>
          </cell>
        </row>
        <row r="10">
          <cell r="AS10" t="str">
            <v>มีนาคม</v>
          </cell>
          <cell r="AU10">
            <v>2565</v>
          </cell>
          <cell r="AY10" t="str">
            <v>ลาพักร้อน</v>
          </cell>
          <cell r="BA10" t="str">
            <v>Q3/66</v>
          </cell>
        </row>
        <row r="11">
          <cell r="AS11" t="str">
            <v>เมษายน</v>
          </cell>
          <cell r="AU11">
            <v>2566</v>
          </cell>
          <cell r="AY11" t="str">
            <v>ลาพักร้อน</v>
          </cell>
          <cell r="BA11" t="str">
            <v>66YE</v>
          </cell>
        </row>
        <row r="12">
          <cell r="AS12" t="str">
            <v>พฤษภาคม</v>
          </cell>
          <cell r="AU12">
            <v>2567</v>
          </cell>
          <cell r="AY12" t="str">
            <v>ลา OT สะสม</v>
          </cell>
          <cell r="BA12" t="str">
            <v>64YE</v>
          </cell>
        </row>
        <row r="13">
          <cell r="AS13" t="str">
            <v>มิถุนายน</v>
          </cell>
          <cell r="AY13" t="str">
            <v>อบรม</v>
          </cell>
        </row>
        <row r="14">
          <cell r="AS14" t="str">
            <v>กรกฎาคม</v>
          </cell>
          <cell r="AY14" t="str">
            <v>NTV</v>
          </cell>
        </row>
        <row r="15">
          <cell r="AS15" t="str">
            <v>สิงหาคม</v>
          </cell>
          <cell r="AY15" t="str">
            <v>KSC</v>
          </cell>
        </row>
        <row r="16">
          <cell r="AS16" t="str">
            <v>กันยายน</v>
          </cell>
          <cell r="AY16" t="str">
            <v>KDC</v>
          </cell>
        </row>
        <row r="17">
          <cell r="AS17" t="str">
            <v>ตุลาคม</v>
          </cell>
          <cell r="AY17" t="str">
            <v>KDC</v>
          </cell>
        </row>
        <row r="18">
          <cell r="AS18" t="str">
            <v>พฤศจิกายน</v>
          </cell>
          <cell r="AY18" t="str">
            <v>KWC</v>
          </cell>
        </row>
        <row r="19">
          <cell r="AS19" t="str">
            <v>ธันวาคม</v>
          </cell>
          <cell r="AY19" t="str">
            <v>TVB</v>
          </cell>
        </row>
        <row r="20">
          <cell r="AY20" t="str">
            <v>UIC</v>
          </cell>
        </row>
        <row r="21">
          <cell r="AY21" t="str">
            <v>BID</v>
          </cell>
        </row>
        <row r="22">
          <cell r="AY22" t="str">
            <v>BNC</v>
          </cell>
        </row>
        <row r="23">
          <cell r="AY23" t="str">
            <v>BSC</v>
          </cell>
        </row>
        <row r="24">
          <cell r="AY24" t="str">
            <v>BIC</v>
          </cell>
        </row>
        <row r="25">
          <cell r="AY25" t="str">
            <v>BIT</v>
          </cell>
        </row>
        <row r="26">
          <cell r="AY26" t="str">
            <v>BAS</v>
          </cell>
        </row>
        <row r="27">
          <cell r="AY27" t="str">
            <v>TWN</v>
          </cell>
        </row>
        <row r="28">
          <cell r="AY28" t="str">
            <v>BTF</v>
          </cell>
        </row>
        <row r="29">
          <cell r="AY29" t="str">
            <v>GMI</v>
          </cell>
        </row>
        <row r="30">
          <cell r="AY30" t="str">
            <v>SME</v>
          </cell>
        </row>
        <row r="31">
          <cell r="AY31" t="str">
            <v>PEI</v>
          </cell>
        </row>
        <row r="32">
          <cell r="AY32" t="str">
            <v>SLA</v>
          </cell>
        </row>
        <row r="33">
          <cell r="AY33" t="str">
            <v>CCI</v>
          </cell>
        </row>
        <row r="34">
          <cell r="AY34" t="str">
            <v>SEE</v>
          </cell>
        </row>
        <row r="35">
          <cell r="AY35" t="str">
            <v>ACT</v>
          </cell>
        </row>
        <row r="36">
          <cell r="AY36" t="str">
            <v>BYK</v>
          </cell>
        </row>
        <row r="37">
          <cell r="AY37" t="str">
            <v>IAB</v>
          </cell>
        </row>
        <row r="38">
          <cell r="AY38" t="str">
            <v>URC</v>
          </cell>
        </row>
        <row r="39">
          <cell r="AY39" t="str">
            <v>SSB</v>
          </cell>
        </row>
        <row r="40">
          <cell r="AY40" t="str">
            <v>URC</v>
          </cell>
        </row>
        <row r="41">
          <cell r="AY41" t="str">
            <v>HFH</v>
          </cell>
        </row>
        <row r="42">
          <cell r="AY42" t="str">
            <v>ATC</v>
          </cell>
        </row>
        <row r="43">
          <cell r="AY43" t="str">
            <v>MEC</v>
          </cell>
        </row>
        <row r="44">
          <cell r="AY44" t="str">
            <v>CUA</v>
          </cell>
        </row>
        <row r="45">
          <cell r="AY45" t="str">
            <v>FAST</v>
          </cell>
        </row>
        <row r="46">
          <cell r="AY46" t="str">
            <v>JSS</v>
          </cell>
        </row>
        <row r="47">
          <cell r="AY47" t="str">
            <v>KTU</v>
          </cell>
        </row>
        <row r="48">
          <cell r="AY48" t="str">
            <v>CH</v>
          </cell>
        </row>
        <row r="49">
          <cell r="AY49" t="str">
            <v>AAF</v>
          </cell>
        </row>
        <row r="50">
          <cell r="AY50" t="str">
            <v>CUS</v>
          </cell>
        </row>
        <row r="51">
          <cell r="AY51" t="str">
            <v>TIP</v>
          </cell>
        </row>
        <row r="52">
          <cell r="AY52" t="str">
            <v>BMP</v>
          </cell>
        </row>
        <row r="53">
          <cell r="AY53" t="str">
            <v>BGP</v>
          </cell>
        </row>
        <row r="54">
          <cell r="AY54" t="str">
            <v>CUA</v>
          </cell>
        </row>
        <row r="55">
          <cell r="AY55" t="str">
            <v>WBLP</v>
          </cell>
        </row>
        <row r="56">
          <cell r="AY56" t="str">
            <v>PTX</v>
          </cell>
        </row>
        <row r="57">
          <cell r="AY57" t="str">
            <v>NTV</v>
          </cell>
        </row>
        <row r="58">
          <cell r="AY58" t="str">
            <v>PAF</v>
          </cell>
        </row>
      </sheetData>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9">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DF7E8DB-686F-477F-A8AA-0E1E23644E5A}">
  <we:reference id="WA200009404" version="1.0.0.8" store="Omex" storeType="OMEX"/>
  <we:alternateReferences>
    <we:reference id="WA200009404" version="1.0.0.8" store="WA200009404" storeType="OMEX"/>
  </we:alternateReferences>
  <we:properties>
    <we:property name="claude.fileId" value="&quot;57aea5a5-0533-4e80-8447-2a88cb0b7e3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C4301-8CF9-40F0-8E1B-655BF4E265FD}">
  <sheetPr>
    <pageSetUpPr fitToPage="1"/>
  </sheetPr>
  <dimension ref="A1:BA61"/>
  <sheetViews>
    <sheetView tabSelected="1" view="pageBreakPreview" zoomScale="70" zoomScaleNormal="70" zoomScaleSheetLayoutView="70" workbookViewId="0">
      <selection activeCell="C3" sqref="C3:D3"/>
    </sheetView>
  </sheetViews>
  <sheetFormatPr defaultColWidth="9.21875" defaultRowHeight="28.8"/>
  <cols>
    <col min="1" max="1" width="3.6640625" style="1" customWidth="1"/>
    <col min="2" max="2" width="6.109375" style="1" customWidth="1"/>
    <col min="3" max="3" width="2.6640625" style="1" customWidth="1"/>
    <col min="4" max="4" width="10" style="1" customWidth="1"/>
    <col min="5" max="5" width="6.5546875" style="1" bestFit="1" customWidth="1"/>
    <col min="6" max="6" width="10.77734375" style="1" customWidth="1"/>
    <col min="7" max="32" width="5.88671875" style="2" customWidth="1"/>
    <col min="33" max="33" width="6.6640625" style="2" customWidth="1"/>
    <col min="34" max="36" width="5.88671875" style="2" customWidth="1"/>
    <col min="37" max="37" width="5.6640625" style="2" customWidth="1"/>
    <col min="38" max="38" width="9.77734375" style="1" customWidth="1"/>
    <col min="39" max="41" width="9" style="1" customWidth="1"/>
    <col min="42" max="44" width="9.21875" style="1"/>
    <col min="45" max="45" width="10.21875" style="5" bestFit="1" customWidth="1"/>
    <col min="46" max="48" width="9.21875" style="6"/>
    <col min="49" max="49" width="16.21875" style="6" bestFit="1" customWidth="1"/>
    <col min="50" max="50" width="64.33203125" style="6" bestFit="1" customWidth="1"/>
    <col min="51" max="51" width="20.109375" style="6" bestFit="1" customWidth="1"/>
    <col min="52" max="53" width="9.21875" style="6"/>
    <col min="54" max="256" width="9.21875" style="1"/>
    <col min="257" max="257" width="3.6640625" style="1" customWidth="1"/>
    <col min="258" max="258" width="4.6640625" style="1" customWidth="1"/>
    <col min="259" max="259" width="2.6640625" style="1" customWidth="1"/>
    <col min="260" max="260" width="7.77734375" style="1" customWidth="1"/>
    <col min="261" max="261" width="5.21875" style="1" bestFit="1" customWidth="1"/>
    <col min="262" max="262" width="10.77734375" style="1" customWidth="1"/>
    <col min="263" max="288" width="5.21875" style="1" customWidth="1"/>
    <col min="289" max="289" width="5.44140625" style="1" customWidth="1"/>
    <col min="290" max="291" width="5.6640625" style="1" customWidth="1"/>
    <col min="292" max="293" width="0" style="1" hidden="1" customWidth="1"/>
    <col min="294" max="297" width="9" style="1" customWidth="1"/>
    <col min="298" max="300" width="9.21875" style="1"/>
    <col min="301" max="301" width="10.21875" style="1" bestFit="1" customWidth="1"/>
    <col min="302" max="304" width="9.21875" style="1"/>
    <col min="305" max="305" width="16.21875" style="1" bestFit="1" customWidth="1"/>
    <col min="306" max="306" width="64.33203125" style="1" bestFit="1" customWidth="1"/>
    <col min="307" max="307" width="16.6640625" style="1" bestFit="1" customWidth="1"/>
    <col min="308" max="512" width="9.21875" style="1"/>
    <col min="513" max="513" width="3.6640625" style="1" customWidth="1"/>
    <col min="514" max="514" width="4.6640625" style="1" customWidth="1"/>
    <col min="515" max="515" width="2.6640625" style="1" customWidth="1"/>
    <col min="516" max="516" width="7.77734375" style="1" customWidth="1"/>
    <col min="517" max="517" width="5.21875" style="1" bestFit="1" customWidth="1"/>
    <col min="518" max="518" width="10.77734375" style="1" customWidth="1"/>
    <col min="519" max="544" width="5.21875" style="1" customWidth="1"/>
    <col min="545" max="545" width="5.44140625" style="1" customWidth="1"/>
    <col min="546" max="547" width="5.6640625" style="1" customWidth="1"/>
    <col min="548" max="549" width="0" style="1" hidden="1" customWidth="1"/>
    <col min="550" max="553" width="9" style="1" customWidth="1"/>
    <col min="554" max="556" width="9.21875" style="1"/>
    <col min="557" max="557" width="10.21875" style="1" bestFit="1" customWidth="1"/>
    <col min="558" max="560" width="9.21875" style="1"/>
    <col min="561" max="561" width="16.21875" style="1" bestFit="1" customWidth="1"/>
    <col min="562" max="562" width="64.33203125" style="1" bestFit="1" customWidth="1"/>
    <col min="563" max="563" width="16.6640625" style="1" bestFit="1" customWidth="1"/>
    <col min="564" max="768" width="9.21875" style="1"/>
    <col min="769" max="769" width="3.6640625" style="1" customWidth="1"/>
    <col min="770" max="770" width="4.6640625" style="1" customWidth="1"/>
    <col min="771" max="771" width="2.6640625" style="1" customWidth="1"/>
    <col min="772" max="772" width="7.77734375" style="1" customWidth="1"/>
    <col min="773" max="773" width="5.21875" style="1" bestFit="1" customWidth="1"/>
    <col min="774" max="774" width="10.77734375" style="1" customWidth="1"/>
    <col min="775" max="800" width="5.21875" style="1" customWidth="1"/>
    <col min="801" max="801" width="5.44140625" style="1" customWidth="1"/>
    <col min="802" max="803" width="5.6640625" style="1" customWidth="1"/>
    <col min="804" max="805" width="0" style="1" hidden="1" customWidth="1"/>
    <col min="806" max="809" width="9" style="1" customWidth="1"/>
    <col min="810" max="812" width="9.21875" style="1"/>
    <col min="813" max="813" width="10.21875" style="1" bestFit="1" customWidth="1"/>
    <col min="814" max="816" width="9.21875" style="1"/>
    <col min="817" max="817" width="16.21875" style="1" bestFit="1" customWidth="1"/>
    <col min="818" max="818" width="64.33203125" style="1" bestFit="1" customWidth="1"/>
    <col min="819" max="819" width="16.6640625" style="1" bestFit="1" customWidth="1"/>
    <col min="820" max="1024" width="9.21875" style="1"/>
    <col min="1025" max="1025" width="3.6640625" style="1" customWidth="1"/>
    <col min="1026" max="1026" width="4.6640625" style="1" customWidth="1"/>
    <col min="1027" max="1027" width="2.6640625" style="1" customWidth="1"/>
    <col min="1028" max="1028" width="7.77734375" style="1" customWidth="1"/>
    <col min="1029" max="1029" width="5.21875" style="1" bestFit="1" customWidth="1"/>
    <col min="1030" max="1030" width="10.77734375" style="1" customWidth="1"/>
    <col min="1031" max="1056" width="5.21875" style="1" customWidth="1"/>
    <col min="1057" max="1057" width="5.44140625" style="1" customWidth="1"/>
    <col min="1058" max="1059" width="5.6640625" style="1" customWidth="1"/>
    <col min="1060" max="1061" width="0" style="1" hidden="1" customWidth="1"/>
    <col min="1062" max="1065" width="9" style="1" customWidth="1"/>
    <col min="1066" max="1068" width="9.21875" style="1"/>
    <col min="1069" max="1069" width="10.21875" style="1" bestFit="1" customWidth="1"/>
    <col min="1070" max="1072" width="9.21875" style="1"/>
    <col min="1073" max="1073" width="16.21875" style="1" bestFit="1" customWidth="1"/>
    <col min="1074" max="1074" width="64.33203125" style="1" bestFit="1" customWidth="1"/>
    <col min="1075" max="1075" width="16.6640625" style="1" bestFit="1" customWidth="1"/>
    <col min="1076" max="1280" width="9.21875" style="1"/>
    <col min="1281" max="1281" width="3.6640625" style="1" customWidth="1"/>
    <col min="1282" max="1282" width="4.6640625" style="1" customWidth="1"/>
    <col min="1283" max="1283" width="2.6640625" style="1" customWidth="1"/>
    <col min="1284" max="1284" width="7.77734375" style="1" customWidth="1"/>
    <col min="1285" max="1285" width="5.21875" style="1" bestFit="1" customWidth="1"/>
    <col min="1286" max="1286" width="10.77734375" style="1" customWidth="1"/>
    <col min="1287" max="1312" width="5.21875" style="1" customWidth="1"/>
    <col min="1313" max="1313" width="5.44140625" style="1" customWidth="1"/>
    <col min="1314" max="1315" width="5.6640625" style="1" customWidth="1"/>
    <col min="1316" max="1317" width="0" style="1" hidden="1" customWidth="1"/>
    <col min="1318" max="1321" width="9" style="1" customWidth="1"/>
    <col min="1322" max="1324" width="9.21875" style="1"/>
    <col min="1325" max="1325" width="10.21875" style="1" bestFit="1" customWidth="1"/>
    <col min="1326" max="1328" width="9.21875" style="1"/>
    <col min="1329" max="1329" width="16.21875" style="1" bestFit="1" customWidth="1"/>
    <col min="1330" max="1330" width="64.33203125" style="1" bestFit="1" customWidth="1"/>
    <col min="1331" max="1331" width="16.6640625" style="1" bestFit="1" customWidth="1"/>
    <col min="1332" max="1536" width="9.21875" style="1"/>
    <col min="1537" max="1537" width="3.6640625" style="1" customWidth="1"/>
    <col min="1538" max="1538" width="4.6640625" style="1" customWidth="1"/>
    <col min="1539" max="1539" width="2.6640625" style="1" customWidth="1"/>
    <col min="1540" max="1540" width="7.77734375" style="1" customWidth="1"/>
    <col min="1541" max="1541" width="5.21875" style="1" bestFit="1" customWidth="1"/>
    <col min="1542" max="1542" width="10.77734375" style="1" customWidth="1"/>
    <col min="1543" max="1568" width="5.21875" style="1" customWidth="1"/>
    <col min="1569" max="1569" width="5.44140625" style="1" customWidth="1"/>
    <col min="1570" max="1571" width="5.6640625" style="1" customWidth="1"/>
    <col min="1572" max="1573" width="0" style="1" hidden="1" customWidth="1"/>
    <col min="1574" max="1577" width="9" style="1" customWidth="1"/>
    <col min="1578" max="1580" width="9.21875" style="1"/>
    <col min="1581" max="1581" width="10.21875" style="1" bestFit="1" customWidth="1"/>
    <col min="1582" max="1584" width="9.21875" style="1"/>
    <col min="1585" max="1585" width="16.21875" style="1" bestFit="1" customWidth="1"/>
    <col min="1586" max="1586" width="64.33203125" style="1" bestFit="1" customWidth="1"/>
    <col min="1587" max="1587" width="16.6640625" style="1" bestFit="1" customWidth="1"/>
    <col min="1588" max="1792" width="9.21875" style="1"/>
    <col min="1793" max="1793" width="3.6640625" style="1" customWidth="1"/>
    <col min="1794" max="1794" width="4.6640625" style="1" customWidth="1"/>
    <col min="1795" max="1795" width="2.6640625" style="1" customWidth="1"/>
    <col min="1796" max="1796" width="7.77734375" style="1" customWidth="1"/>
    <col min="1797" max="1797" width="5.21875" style="1" bestFit="1" customWidth="1"/>
    <col min="1798" max="1798" width="10.77734375" style="1" customWidth="1"/>
    <col min="1799" max="1824" width="5.21875" style="1" customWidth="1"/>
    <col min="1825" max="1825" width="5.44140625" style="1" customWidth="1"/>
    <col min="1826" max="1827" width="5.6640625" style="1" customWidth="1"/>
    <col min="1828" max="1829" width="0" style="1" hidden="1" customWidth="1"/>
    <col min="1830" max="1833" width="9" style="1" customWidth="1"/>
    <col min="1834" max="1836" width="9.21875" style="1"/>
    <col min="1837" max="1837" width="10.21875" style="1" bestFit="1" customWidth="1"/>
    <col min="1838" max="1840" width="9.21875" style="1"/>
    <col min="1841" max="1841" width="16.21875" style="1" bestFit="1" customWidth="1"/>
    <col min="1842" max="1842" width="64.33203125" style="1" bestFit="1" customWidth="1"/>
    <col min="1843" max="1843" width="16.6640625" style="1" bestFit="1" customWidth="1"/>
    <col min="1844" max="2048" width="9.21875" style="1"/>
    <col min="2049" max="2049" width="3.6640625" style="1" customWidth="1"/>
    <col min="2050" max="2050" width="4.6640625" style="1" customWidth="1"/>
    <col min="2051" max="2051" width="2.6640625" style="1" customWidth="1"/>
    <col min="2052" max="2052" width="7.77734375" style="1" customWidth="1"/>
    <col min="2053" max="2053" width="5.21875" style="1" bestFit="1" customWidth="1"/>
    <col min="2054" max="2054" width="10.77734375" style="1" customWidth="1"/>
    <col min="2055" max="2080" width="5.21875" style="1" customWidth="1"/>
    <col min="2081" max="2081" width="5.44140625" style="1" customWidth="1"/>
    <col min="2082" max="2083" width="5.6640625" style="1" customWidth="1"/>
    <col min="2084" max="2085" width="0" style="1" hidden="1" customWidth="1"/>
    <col min="2086" max="2089" width="9" style="1" customWidth="1"/>
    <col min="2090" max="2092" width="9.21875" style="1"/>
    <col min="2093" max="2093" width="10.21875" style="1" bestFit="1" customWidth="1"/>
    <col min="2094" max="2096" width="9.21875" style="1"/>
    <col min="2097" max="2097" width="16.21875" style="1" bestFit="1" customWidth="1"/>
    <col min="2098" max="2098" width="64.33203125" style="1" bestFit="1" customWidth="1"/>
    <col min="2099" max="2099" width="16.6640625" style="1" bestFit="1" customWidth="1"/>
    <col min="2100" max="2304" width="9.21875" style="1"/>
    <col min="2305" max="2305" width="3.6640625" style="1" customWidth="1"/>
    <col min="2306" max="2306" width="4.6640625" style="1" customWidth="1"/>
    <col min="2307" max="2307" width="2.6640625" style="1" customWidth="1"/>
    <col min="2308" max="2308" width="7.77734375" style="1" customWidth="1"/>
    <col min="2309" max="2309" width="5.21875" style="1" bestFit="1" customWidth="1"/>
    <col min="2310" max="2310" width="10.77734375" style="1" customWidth="1"/>
    <col min="2311" max="2336" width="5.21875" style="1" customWidth="1"/>
    <col min="2337" max="2337" width="5.44140625" style="1" customWidth="1"/>
    <col min="2338" max="2339" width="5.6640625" style="1" customWidth="1"/>
    <col min="2340" max="2341" width="0" style="1" hidden="1" customWidth="1"/>
    <col min="2342" max="2345" width="9" style="1" customWidth="1"/>
    <col min="2346" max="2348" width="9.21875" style="1"/>
    <col min="2349" max="2349" width="10.21875" style="1" bestFit="1" customWidth="1"/>
    <col min="2350" max="2352" width="9.21875" style="1"/>
    <col min="2353" max="2353" width="16.21875" style="1" bestFit="1" customWidth="1"/>
    <col min="2354" max="2354" width="64.33203125" style="1" bestFit="1" customWidth="1"/>
    <col min="2355" max="2355" width="16.6640625" style="1" bestFit="1" customWidth="1"/>
    <col min="2356" max="2560" width="9.21875" style="1"/>
    <col min="2561" max="2561" width="3.6640625" style="1" customWidth="1"/>
    <col min="2562" max="2562" width="4.6640625" style="1" customWidth="1"/>
    <col min="2563" max="2563" width="2.6640625" style="1" customWidth="1"/>
    <col min="2564" max="2564" width="7.77734375" style="1" customWidth="1"/>
    <col min="2565" max="2565" width="5.21875" style="1" bestFit="1" customWidth="1"/>
    <col min="2566" max="2566" width="10.77734375" style="1" customWidth="1"/>
    <col min="2567" max="2592" width="5.21875" style="1" customWidth="1"/>
    <col min="2593" max="2593" width="5.44140625" style="1" customWidth="1"/>
    <col min="2594" max="2595" width="5.6640625" style="1" customWidth="1"/>
    <col min="2596" max="2597" width="0" style="1" hidden="1" customWidth="1"/>
    <col min="2598" max="2601" width="9" style="1" customWidth="1"/>
    <col min="2602" max="2604" width="9.21875" style="1"/>
    <col min="2605" max="2605" width="10.21875" style="1" bestFit="1" customWidth="1"/>
    <col min="2606" max="2608" width="9.21875" style="1"/>
    <col min="2609" max="2609" width="16.21875" style="1" bestFit="1" customWidth="1"/>
    <col min="2610" max="2610" width="64.33203125" style="1" bestFit="1" customWidth="1"/>
    <col min="2611" max="2611" width="16.6640625" style="1" bestFit="1" customWidth="1"/>
    <col min="2612" max="2816" width="9.21875" style="1"/>
    <col min="2817" max="2817" width="3.6640625" style="1" customWidth="1"/>
    <col min="2818" max="2818" width="4.6640625" style="1" customWidth="1"/>
    <col min="2819" max="2819" width="2.6640625" style="1" customWidth="1"/>
    <col min="2820" max="2820" width="7.77734375" style="1" customWidth="1"/>
    <col min="2821" max="2821" width="5.21875" style="1" bestFit="1" customWidth="1"/>
    <col min="2822" max="2822" width="10.77734375" style="1" customWidth="1"/>
    <col min="2823" max="2848" width="5.21875" style="1" customWidth="1"/>
    <col min="2849" max="2849" width="5.44140625" style="1" customWidth="1"/>
    <col min="2850" max="2851" width="5.6640625" style="1" customWidth="1"/>
    <col min="2852" max="2853" width="0" style="1" hidden="1" customWidth="1"/>
    <col min="2854" max="2857" width="9" style="1" customWidth="1"/>
    <col min="2858" max="2860" width="9.21875" style="1"/>
    <col min="2861" max="2861" width="10.21875" style="1" bestFit="1" customWidth="1"/>
    <col min="2862" max="2864" width="9.21875" style="1"/>
    <col min="2865" max="2865" width="16.21875" style="1" bestFit="1" customWidth="1"/>
    <col min="2866" max="2866" width="64.33203125" style="1" bestFit="1" customWidth="1"/>
    <col min="2867" max="2867" width="16.6640625" style="1" bestFit="1" customWidth="1"/>
    <col min="2868" max="3072" width="9.21875" style="1"/>
    <col min="3073" max="3073" width="3.6640625" style="1" customWidth="1"/>
    <col min="3074" max="3074" width="4.6640625" style="1" customWidth="1"/>
    <col min="3075" max="3075" width="2.6640625" style="1" customWidth="1"/>
    <col min="3076" max="3076" width="7.77734375" style="1" customWidth="1"/>
    <col min="3077" max="3077" width="5.21875" style="1" bestFit="1" customWidth="1"/>
    <col min="3078" max="3078" width="10.77734375" style="1" customWidth="1"/>
    <col min="3079" max="3104" width="5.21875" style="1" customWidth="1"/>
    <col min="3105" max="3105" width="5.44140625" style="1" customWidth="1"/>
    <col min="3106" max="3107" width="5.6640625" style="1" customWidth="1"/>
    <col min="3108" max="3109" width="0" style="1" hidden="1" customWidth="1"/>
    <col min="3110" max="3113" width="9" style="1" customWidth="1"/>
    <col min="3114" max="3116" width="9.21875" style="1"/>
    <col min="3117" max="3117" width="10.21875" style="1" bestFit="1" customWidth="1"/>
    <col min="3118" max="3120" width="9.21875" style="1"/>
    <col min="3121" max="3121" width="16.21875" style="1" bestFit="1" customWidth="1"/>
    <col min="3122" max="3122" width="64.33203125" style="1" bestFit="1" customWidth="1"/>
    <col min="3123" max="3123" width="16.6640625" style="1" bestFit="1" customWidth="1"/>
    <col min="3124" max="3328" width="9.21875" style="1"/>
    <col min="3329" max="3329" width="3.6640625" style="1" customWidth="1"/>
    <col min="3330" max="3330" width="4.6640625" style="1" customWidth="1"/>
    <col min="3331" max="3331" width="2.6640625" style="1" customWidth="1"/>
    <col min="3332" max="3332" width="7.77734375" style="1" customWidth="1"/>
    <col min="3333" max="3333" width="5.21875" style="1" bestFit="1" customWidth="1"/>
    <col min="3334" max="3334" width="10.77734375" style="1" customWidth="1"/>
    <col min="3335" max="3360" width="5.21875" style="1" customWidth="1"/>
    <col min="3361" max="3361" width="5.44140625" style="1" customWidth="1"/>
    <col min="3362" max="3363" width="5.6640625" style="1" customWidth="1"/>
    <col min="3364" max="3365" width="0" style="1" hidden="1" customWidth="1"/>
    <col min="3366" max="3369" width="9" style="1" customWidth="1"/>
    <col min="3370" max="3372" width="9.21875" style="1"/>
    <col min="3373" max="3373" width="10.21875" style="1" bestFit="1" customWidth="1"/>
    <col min="3374" max="3376" width="9.21875" style="1"/>
    <col min="3377" max="3377" width="16.21875" style="1" bestFit="1" customWidth="1"/>
    <col min="3378" max="3378" width="64.33203125" style="1" bestFit="1" customWidth="1"/>
    <col min="3379" max="3379" width="16.6640625" style="1" bestFit="1" customWidth="1"/>
    <col min="3380" max="3584" width="9.21875" style="1"/>
    <col min="3585" max="3585" width="3.6640625" style="1" customWidth="1"/>
    <col min="3586" max="3586" width="4.6640625" style="1" customWidth="1"/>
    <col min="3587" max="3587" width="2.6640625" style="1" customWidth="1"/>
    <col min="3588" max="3588" width="7.77734375" style="1" customWidth="1"/>
    <col min="3589" max="3589" width="5.21875" style="1" bestFit="1" customWidth="1"/>
    <col min="3590" max="3590" width="10.77734375" style="1" customWidth="1"/>
    <col min="3591" max="3616" width="5.21875" style="1" customWidth="1"/>
    <col min="3617" max="3617" width="5.44140625" style="1" customWidth="1"/>
    <col min="3618" max="3619" width="5.6640625" style="1" customWidth="1"/>
    <col min="3620" max="3621" width="0" style="1" hidden="1" customWidth="1"/>
    <col min="3622" max="3625" width="9" style="1" customWidth="1"/>
    <col min="3626" max="3628" width="9.21875" style="1"/>
    <col min="3629" max="3629" width="10.21875" style="1" bestFit="1" customWidth="1"/>
    <col min="3630" max="3632" width="9.21875" style="1"/>
    <col min="3633" max="3633" width="16.21875" style="1" bestFit="1" customWidth="1"/>
    <col min="3634" max="3634" width="64.33203125" style="1" bestFit="1" customWidth="1"/>
    <col min="3635" max="3635" width="16.6640625" style="1" bestFit="1" customWidth="1"/>
    <col min="3636" max="3840" width="9.21875" style="1"/>
    <col min="3841" max="3841" width="3.6640625" style="1" customWidth="1"/>
    <col min="3842" max="3842" width="4.6640625" style="1" customWidth="1"/>
    <col min="3843" max="3843" width="2.6640625" style="1" customWidth="1"/>
    <col min="3844" max="3844" width="7.77734375" style="1" customWidth="1"/>
    <col min="3845" max="3845" width="5.21875" style="1" bestFit="1" customWidth="1"/>
    <col min="3846" max="3846" width="10.77734375" style="1" customWidth="1"/>
    <col min="3847" max="3872" width="5.21875" style="1" customWidth="1"/>
    <col min="3873" max="3873" width="5.44140625" style="1" customWidth="1"/>
    <col min="3874" max="3875" width="5.6640625" style="1" customWidth="1"/>
    <col min="3876" max="3877" width="0" style="1" hidden="1" customWidth="1"/>
    <col min="3878" max="3881" width="9" style="1" customWidth="1"/>
    <col min="3882" max="3884" width="9.21875" style="1"/>
    <col min="3885" max="3885" width="10.21875" style="1" bestFit="1" customWidth="1"/>
    <col min="3886" max="3888" width="9.21875" style="1"/>
    <col min="3889" max="3889" width="16.21875" style="1" bestFit="1" customWidth="1"/>
    <col min="3890" max="3890" width="64.33203125" style="1" bestFit="1" customWidth="1"/>
    <col min="3891" max="3891" width="16.6640625" style="1" bestFit="1" customWidth="1"/>
    <col min="3892" max="4096" width="9.21875" style="1"/>
    <col min="4097" max="4097" width="3.6640625" style="1" customWidth="1"/>
    <col min="4098" max="4098" width="4.6640625" style="1" customWidth="1"/>
    <col min="4099" max="4099" width="2.6640625" style="1" customWidth="1"/>
    <col min="4100" max="4100" width="7.77734375" style="1" customWidth="1"/>
    <col min="4101" max="4101" width="5.21875" style="1" bestFit="1" customWidth="1"/>
    <col min="4102" max="4102" width="10.77734375" style="1" customWidth="1"/>
    <col min="4103" max="4128" width="5.21875" style="1" customWidth="1"/>
    <col min="4129" max="4129" width="5.44140625" style="1" customWidth="1"/>
    <col min="4130" max="4131" width="5.6640625" style="1" customWidth="1"/>
    <col min="4132" max="4133" width="0" style="1" hidden="1" customWidth="1"/>
    <col min="4134" max="4137" width="9" style="1" customWidth="1"/>
    <col min="4138" max="4140" width="9.21875" style="1"/>
    <col min="4141" max="4141" width="10.21875" style="1" bestFit="1" customWidth="1"/>
    <col min="4142" max="4144" width="9.21875" style="1"/>
    <col min="4145" max="4145" width="16.21875" style="1" bestFit="1" customWidth="1"/>
    <col min="4146" max="4146" width="64.33203125" style="1" bestFit="1" customWidth="1"/>
    <col min="4147" max="4147" width="16.6640625" style="1" bestFit="1" customWidth="1"/>
    <col min="4148" max="4352" width="9.21875" style="1"/>
    <col min="4353" max="4353" width="3.6640625" style="1" customWidth="1"/>
    <col min="4354" max="4354" width="4.6640625" style="1" customWidth="1"/>
    <col min="4355" max="4355" width="2.6640625" style="1" customWidth="1"/>
    <col min="4356" max="4356" width="7.77734375" style="1" customWidth="1"/>
    <col min="4357" max="4357" width="5.21875" style="1" bestFit="1" customWidth="1"/>
    <col min="4358" max="4358" width="10.77734375" style="1" customWidth="1"/>
    <col min="4359" max="4384" width="5.21875" style="1" customWidth="1"/>
    <col min="4385" max="4385" width="5.44140625" style="1" customWidth="1"/>
    <col min="4386" max="4387" width="5.6640625" style="1" customWidth="1"/>
    <col min="4388" max="4389" width="0" style="1" hidden="1" customWidth="1"/>
    <col min="4390" max="4393" width="9" style="1" customWidth="1"/>
    <col min="4394" max="4396" width="9.21875" style="1"/>
    <col min="4397" max="4397" width="10.21875" style="1" bestFit="1" customWidth="1"/>
    <col min="4398" max="4400" width="9.21875" style="1"/>
    <col min="4401" max="4401" width="16.21875" style="1" bestFit="1" customWidth="1"/>
    <col min="4402" max="4402" width="64.33203125" style="1" bestFit="1" customWidth="1"/>
    <col min="4403" max="4403" width="16.6640625" style="1" bestFit="1" customWidth="1"/>
    <col min="4404" max="4608" width="9.21875" style="1"/>
    <col min="4609" max="4609" width="3.6640625" style="1" customWidth="1"/>
    <col min="4610" max="4610" width="4.6640625" style="1" customWidth="1"/>
    <col min="4611" max="4611" width="2.6640625" style="1" customWidth="1"/>
    <col min="4612" max="4612" width="7.77734375" style="1" customWidth="1"/>
    <col min="4613" max="4613" width="5.21875" style="1" bestFit="1" customWidth="1"/>
    <col min="4614" max="4614" width="10.77734375" style="1" customWidth="1"/>
    <col min="4615" max="4640" width="5.21875" style="1" customWidth="1"/>
    <col min="4641" max="4641" width="5.44140625" style="1" customWidth="1"/>
    <col min="4642" max="4643" width="5.6640625" style="1" customWidth="1"/>
    <col min="4644" max="4645" width="0" style="1" hidden="1" customWidth="1"/>
    <col min="4646" max="4649" width="9" style="1" customWidth="1"/>
    <col min="4650" max="4652" width="9.21875" style="1"/>
    <col min="4653" max="4653" width="10.21875" style="1" bestFit="1" customWidth="1"/>
    <col min="4654" max="4656" width="9.21875" style="1"/>
    <col min="4657" max="4657" width="16.21875" style="1" bestFit="1" customWidth="1"/>
    <col min="4658" max="4658" width="64.33203125" style="1" bestFit="1" customWidth="1"/>
    <col min="4659" max="4659" width="16.6640625" style="1" bestFit="1" customWidth="1"/>
    <col min="4660" max="4864" width="9.21875" style="1"/>
    <col min="4865" max="4865" width="3.6640625" style="1" customWidth="1"/>
    <col min="4866" max="4866" width="4.6640625" style="1" customWidth="1"/>
    <col min="4867" max="4867" width="2.6640625" style="1" customWidth="1"/>
    <col min="4868" max="4868" width="7.77734375" style="1" customWidth="1"/>
    <col min="4869" max="4869" width="5.21875" style="1" bestFit="1" customWidth="1"/>
    <col min="4870" max="4870" width="10.77734375" style="1" customWidth="1"/>
    <col min="4871" max="4896" width="5.21875" style="1" customWidth="1"/>
    <col min="4897" max="4897" width="5.44140625" style="1" customWidth="1"/>
    <col min="4898" max="4899" width="5.6640625" style="1" customWidth="1"/>
    <col min="4900" max="4901" width="0" style="1" hidden="1" customWidth="1"/>
    <col min="4902" max="4905" width="9" style="1" customWidth="1"/>
    <col min="4906" max="4908" width="9.21875" style="1"/>
    <col min="4909" max="4909" width="10.21875" style="1" bestFit="1" customWidth="1"/>
    <col min="4910" max="4912" width="9.21875" style="1"/>
    <col min="4913" max="4913" width="16.21875" style="1" bestFit="1" customWidth="1"/>
    <col min="4914" max="4914" width="64.33203125" style="1" bestFit="1" customWidth="1"/>
    <col min="4915" max="4915" width="16.6640625" style="1" bestFit="1" customWidth="1"/>
    <col min="4916" max="5120" width="9.21875" style="1"/>
    <col min="5121" max="5121" width="3.6640625" style="1" customWidth="1"/>
    <col min="5122" max="5122" width="4.6640625" style="1" customWidth="1"/>
    <col min="5123" max="5123" width="2.6640625" style="1" customWidth="1"/>
    <col min="5124" max="5124" width="7.77734375" style="1" customWidth="1"/>
    <col min="5125" max="5125" width="5.21875" style="1" bestFit="1" customWidth="1"/>
    <col min="5126" max="5126" width="10.77734375" style="1" customWidth="1"/>
    <col min="5127" max="5152" width="5.21875" style="1" customWidth="1"/>
    <col min="5153" max="5153" width="5.44140625" style="1" customWidth="1"/>
    <col min="5154" max="5155" width="5.6640625" style="1" customWidth="1"/>
    <col min="5156" max="5157" width="0" style="1" hidden="1" customWidth="1"/>
    <col min="5158" max="5161" width="9" style="1" customWidth="1"/>
    <col min="5162" max="5164" width="9.21875" style="1"/>
    <col min="5165" max="5165" width="10.21875" style="1" bestFit="1" customWidth="1"/>
    <col min="5166" max="5168" width="9.21875" style="1"/>
    <col min="5169" max="5169" width="16.21875" style="1" bestFit="1" customWidth="1"/>
    <col min="5170" max="5170" width="64.33203125" style="1" bestFit="1" customWidth="1"/>
    <col min="5171" max="5171" width="16.6640625" style="1" bestFit="1" customWidth="1"/>
    <col min="5172" max="5376" width="9.21875" style="1"/>
    <col min="5377" max="5377" width="3.6640625" style="1" customWidth="1"/>
    <col min="5378" max="5378" width="4.6640625" style="1" customWidth="1"/>
    <col min="5379" max="5379" width="2.6640625" style="1" customWidth="1"/>
    <col min="5380" max="5380" width="7.77734375" style="1" customWidth="1"/>
    <col min="5381" max="5381" width="5.21875" style="1" bestFit="1" customWidth="1"/>
    <col min="5382" max="5382" width="10.77734375" style="1" customWidth="1"/>
    <col min="5383" max="5408" width="5.21875" style="1" customWidth="1"/>
    <col min="5409" max="5409" width="5.44140625" style="1" customWidth="1"/>
    <col min="5410" max="5411" width="5.6640625" style="1" customWidth="1"/>
    <col min="5412" max="5413" width="0" style="1" hidden="1" customWidth="1"/>
    <col min="5414" max="5417" width="9" style="1" customWidth="1"/>
    <col min="5418" max="5420" width="9.21875" style="1"/>
    <col min="5421" max="5421" width="10.21875" style="1" bestFit="1" customWidth="1"/>
    <col min="5422" max="5424" width="9.21875" style="1"/>
    <col min="5425" max="5425" width="16.21875" style="1" bestFit="1" customWidth="1"/>
    <col min="5426" max="5426" width="64.33203125" style="1" bestFit="1" customWidth="1"/>
    <col min="5427" max="5427" width="16.6640625" style="1" bestFit="1" customWidth="1"/>
    <col min="5428" max="5632" width="9.21875" style="1"/>
    <col min="5633" max="5633" width="3.6640625" style="1" customWidth="1"/>
    <col min="5634" max="5634" width="4.6640625" style="1" customWidth="1"/>
    <col min="5635" max="5635" width="2.6640625" style="1" customWidth="1"/>
    <col min="5636" max="5636" width="7.77734375" style="1" customWidth="1"/>
    <col min="5637" max="5637" width="5.21875" style="1" bestFit="1" customWidth="1"/>
    <col min="5638" max="5638" width="10.77734375" style="1" customWidth="1"/>
    <col min="5639" max="5664" width="5.21875" style="1" customWidth="1"/>
    <col min="5665" max="5665" width="5.44140625" style="1" customWidth="1"/>
    <col min="5666" max="5667" width="5.6640625" style="1" customWidth="1"/>
    <col min="5668" max="5669" width="0" style="1" hidden="1" customWidth="1"/>
    <col min="5670" max="5673" width="9" style="1" customWidth="1"/>
    <col min="5674" max="5676" width="9.21875" style="1"/>
    <col min="5677" max="5677" width="10.21875" style="1" bestFit="1" customWidth="1"/>
    <col min="5678" max="5680" width="9.21875" style="1"/>
    <col min="5681" max="5681" width="16.21875" style="1" bestFit="1" customWidth="1"/>
    <col min="5682" max="5682" width="64.33203125" style="1" bestFit="1" customWidth="1"/>
    <col min="5683" max="5683" width="16.6640625" style="1" bestFit="1" customWidth="1"/>
    <col min="5684" max="5888" width="9.21875" style="1"/>
    <col min="5889" max="5889" width="3.6640625" style="1" customWidth="1"/>
    <col min="5890" max="5890" width="4.6640625" style="1" customWidth="1"/>
    <col min="5891" max="5891" width="2.6640625" style="1" customWidth="1"/>
    <col min="5892" max="5892" width="7.77734375" style="1" customWidth="1"/>
    <col min="5893" max="5893" width="5.21875" style="1" bestFit="1" customWidth="1"/>
    <col min="5894" max="5894" width="10.77734375" style="1" customWidth="1"/>
    <col min="5895" max="5920" width="5.21875" style="1" customWidth="1"/>
    <col min="5921" max="5921" width="5.44140625" style="1" customWidth="1"/>
    <col min="5922" max="5923" width="5.6640625" style="1" customWidth="1"/>
    <col min="5924" max="5925" width="0" style="1" hidden="1" customWidth="1"/>
    <col min="5926" max="5929" width="9" style="1" customWidth="1"/>
    <col min="5930" max="5932" width="9.21875" style="1"/>
    <col min="5933" max="5933" width="10.21875" style="1" bestFit="1" customWidth="1"/>
    <col min="5934" max="5936" width="9.21875" style="1"/>
    <col min="5937" max="5937" width="16.21875" style="1" bestFit="1" customWidth="1"/>
    <col min="5938" max="5938" width="64.33203125" style="1" bestFit="1" customWidth="1"/>
    <col min="5939" max="5939" width="16.6640625" style="1" bestFit="1" customWidth="1"/>
    <col min="5940" max="6144" width="9.21875" style="1"/>
    <col min="6145" max="6145" width="3.6640625" style="1" customWidth="1"/>
    <col min="6146" max="6146" width="4.6640625" style="1" customWidth="1"/>
    <col min="6147" max="6147" width="2.6640625" style="1" customWidth="1"/>
    <col min="6148" max="6148" width="7.77734375" style="1" customWidth="1"/>
    <col min="6149" max="6149" width="5.21875" style="1" bestFit="1" customWidth="1"/>
    <col min="6150" max="6150" width="10.77734375" style="1" customWidth="1"/>
    <col min="6151" max="6176" width="5.21875" style="1" customWidth="1"/>
    <col min="6177" max="6177" width="5.44140625" style="1" customWidth="1"/>
    <col min="6178" max="6179" width="5.6640625" style="1" customWidth="1"/>
    <col min="6180" max="6181" width="0" style="1" hidden="1" customWidth="1"/>
    <col min="6182" max="6185" width="9" style="1" customWidth="1"/>
    <col min="6186" max="6188" width="9.21875" style="1"/>
    <col min="6189" max="6189" width="10.21875" style="1" bestFit="1" customWidth="1"/>
    <col min="6190" max="6192" width="9.21875" style="1"/>
    <col min="6193" max="6193" width="16.21875" style="1" bestFit="1" customWidth="1"/>
    <col min="6194" max="6194" width="64.33203125" style="1" bestFit="1" customWidth="1"/>
    <col min="6195" max="6195" width="16.6640625" style="1" bestFit="1" customWidth="1"/>
    <col min="6196" max="6400" width="9.21875" style="1"/>
    <col min="6401" max="6401" width="3.6640625" style="1" customWidth="1"/>
    <col min="6402" max="6402" width="4.6640625" style="1" customWidth="1"/>
    <col min="6403" max="6403" width="2.6640625" style="1" customWidth="1"/>
    <col min="6404" max="6404" width="7.77734375" style="1" customWidth="1"/>
    <col min="6405" max="6405" width="5.21875" style="1" bestFit="1" customWidth="1"/>
    <col min="6406" max="6406" width="10.77734375" style="1" customWidth="1"/>
    <col min="6407" max="6432" width="5.21875" style="1" customWidth="1"/>
    <col min="6433" max="6433" width="5.44140625" style="1" customWidth="1"/>
    <col min="6434" max="6435" width="5.6640625" style="1" customWidth="1"/>
    <col min="6436" max="6437" width="0" style="1" hidden="1" customWidth="1"/>
    <col min="6438" max="6441" width="9" style="1" customWidth="1"/>
    <col min="6442" max="6444" width="9.21875" style="1"/>
    <col min="6445" max="6445" width="10.21875" style="1" bestFit="1" customWidth="1"/>
    <col min="6446" max="6448" width="9.21875" style="1"/>
    <col min="6449" max="6449" width="16.21875" style="1" bestFit="1" customWidth="1"/>
    <col min="6450" max="6450" width="64.33203125" style="1" bestFit="1" customWidth="1"/>
    <col min="6451" max="6451" width="16.6640625" style="1" bestFit="1" customWidth="1"/>
    <col min="6452" max="6656" width="9.21875" style="1"/>
    <col min="6657" max="6657" width="3.6640625" style="1" customWidth="1"/>
    <col min="6658" max="6658" width="4.6640625" style="1" customWidth="1"/>
    <col min="6659" max="6659" width="2.6640625" style="1" customWidth="1"/>
    <col min="6660" max="6660" width="7.77734375" style="1" customWidth="1"/>
    <col min="6661" max="6661" width="5.21875" style="1" bestFit="1" customWidth="1"/>
    <col min="6662" max="6662" width="10.77734375" style="1" customWidth="1"/>
    <col min="6663" max="6688" width="5.21875" style="1" customWidth="1"/>
    <col min="6689" max="6689" width="5.44140625" style="1" customWidth="1"/>
    <col min="6690" max="6691" width="5.6640625" style="1" customWidth="1"/>
    <col min="6692" max="6693" width="0" style="1" hidden="1" customWidth="1"/>
    <col min="6694" max="6697" width="9" style="1" customWidth="1"/>
    <col min="6698" max="6700" width="9.21875" style="1"/>
    <col min="6701" max="6701" width="10.21875" style="1" bestFit="1" customWidth="1"/>
    <col min="6702" max="6704" width="9.21875" style="1"/>
    <col min="6705" max="6705" width="16.21875" style="1" bestFit="1" customWidth="1"/>
    <col min="6706" max="6706" width="64.33203125" style="1" bestFit="1" customWidth="1"/>
    <col min="6707" max="6707" width="16.6640625" style="1" bestFit="1" customWidth="1"/>
    <col min="6708" max="6912" width="9.21875" style="1"/>
    <col min="6913" max="6913" width="3.6640625" style="1" customWidth="1"/>
    <col min="6914" max="6914" width="4.6640625" style="1" customWidth="1"/>
    <col min="6915" max="6915" width="2.6640625" style="1" customWidth="1"/>
    <col min="6916" max="6916" width="7.77734375" style="1" customWidth="1"/>
    <col min="6917" max="6917" width="5.21875" style="1" bestFit="1" customWidth="1"/>
    <col min="6918" max="6918" width="10.77734375" style="1" customWidth="1"/>
    <col min="6919" max="6944" width="5.21875" style="1" customWidth="1"/>
    <col min="6945" max="6945" width="5.44140625" style="1" customWidth="1"/>
    <col min="6946" max="6947" width="5.6640625" style="1" customWidth="1"/>
    <col min="6948" max="6949" width="0" style="1" hidden="1" customWidth="1"/>
    <col min="6950" max="6953" width="9" style="1" customWidth="1"/>
    <col min="6954" max="6956" width="9.21875" style="1"/>
    <col min="6957" max="6957" width="10.21875" style="1" bestFit="1" customWidth="1"/>
    <col min="6958" max="6960" width="9.21875" style="1"/>
    <col min="6961" max="6961" width="16.21875" style="1" bestFit="1" customWidth="1"/>
    <col min="6962" max="6962" width="64.33203125" style="1" bestFit="1" customWidth="1"/>
    <col min="6963" max="6963" width="16.6640625" style="1" bestFit="1" customWidth="1"/>
    <col min="6964" max="7168" width="9.21875" style="1"/>
    <col min="7169" max="7169" width="3.6640625" style="1" customWidth="1"/>
    <col min="7170" max="7170" width="4.6640625" style="1" customWidth="1"/>
    <col min="7171" max="7171" width="2.6640625" style="1" customWidth="1"/>
    <col min="7172" max="7172" width="7.77734375" style="1" customWidth="1"/>
    <col min="7173" max="7173" width="5.21875" style="1" bestFit="1" customWidth="1"/>
    <col min="7174" max="7174" width="10.77734375" style="1" customWidth="1"/>
    <col min="7175" max="7200" width="5.21875" style="1" customWidth="1"/>
    <col min="7201" max="7201" width="5.44140625" style="1" customWidth="1"/>
    <col min="7202" max="7203" width="5.6640625" style="1" customWidth="1"/>
    <col min="7204" max="7205" width="0" style="1" hidden="1" customWidth="1"/>
    <col min="7206" max="7209" width="9" style="1" customWidth="1"/>
    <col min="7210" max="7212" width="9.21875" style="1"/>
    <col min="7213" max="7213" width="10.21875" style="1" bestFit="1" customWidth="1"/>
    <col min="7214" max="7216" width="9.21875" style="1"/>
    <col min="7217" max="7217" width="16.21875" style="1" bestFit="1" customWidth="1"/>
    <col min="7218" max="7218" width="64.33203125" style="1" bestFit="1" customWidth="1"/>
    <col min="7219" max="7219" width="16.6640625" style="1" bestFit="1" customWidth="1"/>
    <col min="7220" max="7424" width="9.21875" style="1"/>
    <col min="7425" max="7425" width="3.6640625" style="1" customWidth="1"/>
    <col min="7426" max="7426" width="4.6640625" style="1" customWidth="1"/>
    <col min="7427" max="7427" width="2.6640625" style="1" customWidth="1"/>
    <col min="7428" max="7428" width="7.77734375" style="1" customWidth="1"/>
    <col min="7429" max="7429" width="5.21875" style="1" bestFit="1" customWidth="1"/>
    <col min="7430" max="7430" width="10.77734375" style="1" customWidth="1"/>
    <col min="7431" max="7456" width="5.21875" style="1" customWidth="1"/>
    <col min="7457" max="7457" width="5.44140625" style="1" customWidth="1"/>
    <col min="7458" max="7459" width="5.6640625" style="1" customWidth="1"/>
    <col min="7460" max="7461" width="0" style="1" hidden="1" customWidth="1"/>
    <col min="7462" max="7465" width="9" style="1" customWidth="1"/>
    <col min="7466" max="7468" width="9.21875" style="1"/>
    <col min="7469" max="7469" width="10.21875" style="1" bestFit="1" customWidth="1"/>
    <col min="7470" max="7472" width="9.21875" style="1"/>
    <col min="7473" max="7473" width="16.21875" style="1" bestFit="1" customWidth="1"/>
    <col min="7474" max="7474" width="64.33203125" style="1" bestFit="1" customWidth="1"/>
    <col min="7475" max="7475" width="16.6640625" style="1" bestFit="1" customWidth="1"/>
    <col min="7476" max="7680" width="9.21875" style="1"/>
    <col min="7681" max="7681" width="3.6640625" style="1" customWidth="1"/>
    <col min="7682" max="7682" width="4.6640625" style="1" customWidth="1"/>
    <col min="7683" max="7683" width="2.6640625" style="1" customWidth="1"/>
    <col min="7684" max="7684" width="7.77734375" style="1" customWidth="1"/>
    <col min="7685" max="7685" width="5.21875" style="1" bestFit="1" customWidth="1"/>
    <col min="7686" max="7686" width="10.77734375" style="1" customWidth="1"/>
    <col min="7687" max="7712" width="5.21875" style="1" customWidth="1"/>
    <col min="7713" max="7713" width="5.44140625" style="1" customWidth="1"/>
    <col min="7714" max="7715" width="5.6640625" style="1" customWidth="1"/>
    <col min="7716" max="7717" width="0" style="1" hidden="1" customWidth="1"/>
    <col min="7718" max="7721" width="9" style="1" customWidth="1"/>
    <col min="7722" max="7724" width="9.21875" style="1"/>
    <col min="7725" max="7725" width="10.21875" style="1" bestFit="1" customWidth="1"/>
    <col min="7726" max="7728" width="9.21875" style="1"/>
    <col min="7729" max="7729" width="16.21875" style="1" bestFit="1" customWidth="1"/>
    <col min="7730" max="7730" width="64.33203125" style="1" bestFit="1" customWidth="1"/>
    <col min="7731" max="7731" width="16.6640625" style="1" bestFit="1" customWidth="1"/>
    <col min="7732" max="7936" width="9.21875" style="1"/>
    <col min="7937" max="7937" width="3.6640625" style="1" customWidth="1"/>
    <col min="7938" max="7938" width="4.6640625" style="1" customWidth="1"/>
    <col min="7939" max="7939" width="2.6640625" style="1" customWidth="1"/>
    <col min="7940" max="7940" width="7.77734375" style="1" customWidth="1"/>
    <col min="7941" max="7941" width="5.21875" style="1" bestFit="1" customWidth="1"/>
    <col min="7942" max="7942" width="10.77734375" style="1" customWidth="1"/>
    <col min="7943" max="7968" width="5.21875" style="1" customWidth="1"/>
    <col min="7969" max="7969" width="5.44140625" style="1" customWidth="1"/>
    <col min="7970" max="7971" width="5.6640625" style="1" customWidth="1"/>
    <col min="7972" max="7973" width="0" style="1" hidden="1" customWidth="1"/>
    <col min="7974" max="7977" width="9" style="1" customWidth="1"/>
    <col min="7978" max="7980" width="9.21875" style="1"/>
    <col min="7981" max="7981" width="10.21875" style="1" bestFit="1" customWidth="1"/>
    <col min="7982" max="7984" width="9.21875" style="1"/>
    <col min="7985" max="7985" width="16.21875" style="1" bestFit="1" customWidth="1"/>
    <col min="7986" max="7986" width="64.33203125" style="1" bestFit="1" customWidth="1"/>
    <col min="7987" max="7987" width="16.6640625" style="1" bestFit="1" customWidth="1"/>
    <col min="7988" max="8192" width="9.21875" style="1"/>
    <col min="8193" max="8193" width="3.6640625" style="1" customWidth="1"/>
    <col min="8194" max="8194" width="4.6640625" style="1" customWidth="1"/>
    <col min="8195" max="8195" width="2.6640625" style="1" customWidth="1"/>
    <col min="8196" max="8196" width="7.77734375" style="1" customWidth="1"/>
    <col min="8197" max="8197" width="5.21875" style="1" bestFit="1" customWidth="1"/>
    <col min="8198" max="8198" width="10.77734375" style="1" customWidth="1"/>
    <col min="8199" max="8224" width="5.21875" style="1" customWidth="1"/>
    <col min="8225" max="8225" width="5.44140625" style="1" customWidth="1"/>
    <col min="8226" max="8227" width="5.6640625" style="1" customWidth="1"/>
    <col min="8228" max="8229" width="0" style="1" hidden="1" customWidth="1"/>
    <col min="8230" max="8233" width="9" style="1" customWidth="1"/>
    <col min="8234" max="8236" width="9.21875" style="1"/>
    <col min="8237" max="8237" width="10.21875" style="1" bestFit="1" customWidth="1"/>
    <col min="8238" max="8240" width="9.21875" style="1"/>
    <col min="8241" max="8241" width="16.21875" style="1" bestFit="1" customWidth="1"/>
    <col min="8242" max="8242" width="64.33203125" style="1" bestFit="1" customWidth="1"/>
    <col min="8243" max="8243" width="16.6640625" style="1" bestFit="1" customWidth="1"/>
    <col min="8244" max="8448" width="9.21875" style="1"/>
    <col min="8449" max="8449" width="3.6640625" style="1" customWidth="1"/>
    <col min="8450" max="8450" width="4.6640625" style="1" customWidth="1"/>
    <col min="8451" max="8451" width="2.6640625" style="1" customWidth="1"/>
    <col min="8452" max="8452" width="7.77734375" style="1" customWidth="1"/>
    <col min="8453" max="8453" width="5.21875" style="1" bestFit="1" customWidth="1"/>
    <col min="8454" max="8454" width="10.77734375" style="1" customWidth="1"/>
    <col min="8455" max="8480" width="5.21875" style="1" customWidth="1"/>
    <col min="8481" max="8481" width="5.44140625" style="1" customWidth="1"/>
    <col min="8482" max="8483" width="5.6640625" style="1" customWidth="1"/>
    <col min="8484" max="8485" width="0" style="1" hidden="1" customWidth="1"/>
    <col min="8486" max="8489" width="9" style="1" customWidth="1"/>
    <col min="8490" max="8492" width="9.21875" style="1"/>
    <col min="8493" max="8493" width="10.21875" style="1" bestFit="1" customWidth="1"/>
    <col min="8494" max="8496" width="9.21875" style="1"/>
    <col min="8497" max="8497" width="16.21875" style="1" bestFit="1" customWidth="1"/>
    <col min="8498" max="8498" width="64.33203125" style="1" bestFit="1" customWidth="1"/>
    <col min="8499" max="8499" width="16.6640625" style="1" bestFit="1" customWidth="1"/>
    <col min="8500" max="8704" width="9.21875" style="1"/>
    <col min="8705" max="8705" width="3.6640625" style="1" customWidth="1"/>
    <col min="8706" max="8706" width="4.6640625" style="1" customWidth="1"/>
    <col min="8707" max="8707" width="2.6640625" style="1" customWidth="1"/>
    <col min="8708" max="8708" width="7.77734375" style="1" customWidth="1"/>
    <col min="8709" max="8709" width="5.21875" style="1" bestFit="1" customWidth="1"/>
    <col min="8710" max="8710" width="10.77734375" style="1" customWidth="1"/>
    <col min="8711" max="8736" width="5.21875" style="1" customWidth="1"/>
    <col min="8737" max="8737" width="5.44140625" style="1" customWidth="1"/>
    <col min="8738" max="8739" width="5.6640625" style="1" customWidth="1"/>
    <col min="8740" max="8741" width="0" style="1" hidden="1" customWidth="1"/>
    <col min="8742" max="8745" width="9" style="1" customWidth="1"/>
    <col min="8746" max="8748" width="9.21875" style="1"/>
    <col min="8749" max="8749" width="10.21875" style="1" bestFit="1" customWidth="1"/>
    <col min="8750" max="8752" width="9.21875" style="1"/>
    <col min="8753" max="8753" width="16.21875" style="1" bestFit="1" customWidth="1"/>
    <col min="8754" max="8754" width="64.33203125" style="1" bestFit="1" customWidth="1"/>
    <col min="8755" max="8755" width="16.6640625" style="1" bestFit="1" customWidth="1"/>
    <col min="8756" max="8960" width="9.21875" style="1"/>
    <col min="8961" max="8961" width="3.6640625" style="1" customWidth="1"/>
    <col min="8962" max="8962" width="4.6640625" style="1" customWidth="1"/>
    <col min="8963" max="8963" width="2.6640625" style="1" customWidth="1"/>
    <col min="8964" max="8964" width="7.77734375" style="1" customWidth="1"/>
    <col min="8965" max="8965" width="5.21875" style="1" bestFit="1" customWidth="1"/>
    <col min="8966" max="8966" width="10.77734375" style="1" customWidth="1"/>
    <col min="8967" max="8992" width="5.21875" style="1" customWidth="1"/>
    <col min="8993" max="8993" width="5.44140625" style="1" customWidth="1"/>
    <col min="8994" max="8995" width="5.6640625" style="1" customWidth="1"/>
    <col min="8996" max="8997" width="0" style="1" hidden="1" customWidth="1"/>
    <col min="8998" max="9001" width="9" style="1" customWidth="1"/>
    <col min="9002" max="9004" width="9.21875" style="1"/>
    <col min="9005" max="9005" width="10.21875" style="1" bestFit="1" customWidth="1"/>
    <col min="9006" max="9008" width="9.21875" style="1"/>
    <col min="9009" max="9009" width="16.21875" style="1" bestFit="1" customWidth="1"/>
    <col min="9010" max="9010" width="64.33203125" style="1" bestFit="1" customWidth="1"/>
    <col min="9011" max="9011" width="16.6640625" style="1" bestFit="1" customWidth="1"/>
    <col min="9012" max="9216" width="9.21875" style="1"/>
    <col min="9217" max="9217" width="3.6640625" style="1" customWidth="1"/>
    <col min="9218" max="9218" width="4.6640625" style="1" customWidth="1"/>
    <col min="9219" max="9219" width="2.6640625" style="1" customWidth="1"/>
    <col min="9220" max="9220" width="7.77734375" style="1" customWidth="1"/>
    <col min="9221" max="9221" width="5.21875" style="1" bestFit="1" customWidth="1"/>
    <col min="9222" max="9222" width="10.77734375" style="1" customWidth="1"/>
    <col min="9223" max="9248" width="5.21875" style="1" customWidth="1"/>
    <col min="9249" max="9249" width="5.44140625" style="1" customWidth="1"/>
    <col min="9250" max="9251" width="5.6640625" style="1" customWidth="1"/>
    <col min="9252" max="9253" width="0" style="1" hidden="1" customWidth="1"/>
    <col min="9254" max="9257" width="9" style="1" customWidth="1"/>
    <col min="9258" max="9260" width="9.21875" style="1"/>
    <col min="9261" max="9261" width="10.21875" style="1" bestFit="1" customWidth="1"/>
    <col min="9262" max="9264" width="9.21875" style="1"/>
    <col min="9265" max="9265" width="16.21875" style="1" bestFit="1" customWidth="1"/>
    <col min="9266" max="9266" width="64.33203125" style="1" bestFit="1" customWidth="1"/>
    <col min="9267" max="9267" width="16.6640625" style="1" bestFit="1" customWidth="1"/>
    <col min="9268" max="9472" width="9.21875" style="1"/>
    <col min="9473" max="9473" width="3.6640625" style="1" customWidth="1"/>
    <col min="9474" max="9474" width="4.6640625" style="1" customWidth="1"/>
    <col min="9475" max="9475" width="2.6640625" style="1" customWidth="1"/>
    <col min="9476" max="9476" width="7.77734375" style="1" customWidth="1"/>
    <col min="9477" max="9477" width="5.21875" style="1" bestFit="1" customWidth="1"/>
    <col min="9478" max="9478" width="10.77734375" style="1" customWidth="1"/>
    <col min="9479" max="9504" width="5.21875" style="1" customWidth="1"/>
    <col min="9505" max="9505" width="5.44140625" style="1" customWidth="1"/>
    <col min="9506" max="9507" width="5.6640625" style="1" customWidth="1"/>
    <col min="9508" max="9509" width="0" style="1" hidden="1" customWidth="1"/>
    <col min="9510" max="9513" width="9" style="1" customWidth="1"/>
    <col min="9514" max="9516" width="9.21875" style="1"/>
    <col min="9517" max="9517" width="10.21875" style="1" bestFit="1" customWidth="1"/>
    <col min="9518" max="9520" width="9.21875" style="1"/>
    <col min="9521" max="9521" width="16.21875" style="1" bestFit="1" customWidth="1"/>
    <col min="9522" max="9522" width="64.33203125" style="1" bestFit="1" customWidth="1"/>
    <col min="9523" max="9523" width="16.6640625" style="1" bestFit="1" customWidth="1"/>
    <col min="9524" max="9728" width="9.21875" style="1"/>
    <col min="9729" max="9729" width="3.6640625" style="1" customWidth="1"/>
    <col min="9730" max="9730" width="4.6640625" style="1" customWidth="1"/>
    <col min="9731" max="9731" width="2.6640625" style="1" customWidth="1"/>
    <col min="9732" max="9732" width="7.77734375" style="1" customWidth="1"/>
    <col min="9733" max="9733" width="5.21875" style="1" bestFit="1" customWidth="1"/>
    <col min="9734" max="9734" width="10.77734375" style="1" customWidth="1"/>
    <col min="9735" max="9760" width="5.21875" style="1" customWidth="1"/>
    <col min="9761" max="9761" width="5.44140625" style="1" customWidth="1"/>
    <col min="9762" max="9763" width="5.6640625" style="1" customWidth="1"/>
    <col min="9764" max="9765" width="0" style="1" hidden="1" customWidth="1"/>
    <col min="9766" max="9769" width="9" style="1" customWidth="1"/>
    <col min="9770" max="9772" width="9.21875" style="1"/>
    <col min="9773" max="9773" width="10.21875" style="1" bestFit="1" customWidth="1"/>
    <col min="9774" max="9776" width="9.21875" style="1"/>
    <col min="9777" max="9777" width="16.21875" style="1" bestFit="1" customWidth="1"/>
    <col min="9778" max="9778" width="64.33203125" style="1" bestFit="1" customWidth="1"/>
    <col min="9779" max="9779" width="16.6640625" style="1" bestFit="1" customWidth="1"/>
    <col min="9780" max="9984" width="9.21875" style="1"/>
    <col min="9985" max="9985" width="3.6640625" style="1" customWidth="1"/>
    <col min="9986" max="9986" width="4.6640625" style="1" customWidth="1"/>
    <col min="9987" max="9987" width="2.6640625" style="1" customWidth="1"/>
    <col min="9988" max="9988" width="7.77734375" style="1" customWidth="1"/>
    <col min="9989" max="9989" width="5.21875" style="1" bestFit="1" customWidth="1"/>
    <col min="9990" max="9990" width="10.77734375" style="1" customWidth="1"/>
    <col min="9991" max="10016" width="5.21875" style="1" customWidth="1"/>
    <col min="10017" max="10017" width="5.44140625" style="1" customWidth="1"/>
    <col min="10018" max="10019" width="5.6640625" style="1" customWidth="1"/>
    <col min="10020" max="10021" width="0" style="1" hidden="1" customWidth="1"/>
    <col min="10022" max="10025" width="9" style="1" customWidth="1"/>
    <col min="10026" max="10028" width="9.21875" style="1"/>
    <col min="10029" max="10029" width="10.21875" style="1" bestFit="1" customWidth="1"/>
    <col min="10030" max="10032" width="9.21875" style="1"/>
    <col min="10033" max="10033" width="16.21875" style="1" bestFit="1" customWidth="1"/>
    <col min="10034" max="10034" width="64.33203125" style="1" bestFit="1" customWidth="1"/>
    <col min="10035" max="10035" width="16.6640625" style="1" bestFit="1" customWidth="1"/>
    <col min="10036" max="10240" width="9.21875" style="1"/>
    <col min="10241" max="10241" width="3.6640625" style="1" customWidth="1"/>
    <col min="10242" max="10242" width="4.6640625" style="1" customWidth="1"/>
    <col min="10243" max="10243" width="2.6640625" style="1" customWidth="1"/>
    <col min="10244" max="10244" width="7.77734375" style="1" customWidth="1"/>
    <col min="10245" max="10245" width="5.21875" style="1" bestFit="1" customWidth="1"/>
    <col min="10246" max="10246" width="10.77734375" style="1" customWidth="1"/>
    <col min="10247" max="10272" width="5.21875" style="1" customWidth="1"/>
    <col min="10273" max="10273" width="5.44140625" style="1" customWidth="1"/>
    <col min="10274" max="10275" width="5.6640625" style="1" customWidth="1"/>
    <col min="10276" max="10277" width="0" style="1" hidden="1" customWidth="1"/>
    <col min="10278" max="10281" width="9" style="1" customWidth="1"/>
    <col min="10282" max="10284" width="9.21875" style="1"/>
    <col min="10285" max="10285" width="10.21875" style="1" bestFit="1" customWidth="1"/>
    <col min="10286" max="10288" width="9.21875" style="1"/>
    <col min="10289" max="10289" width="16.21875" style="1" bestFit="1" customWidth="1"/>
    <col min="10290" max="10290" width="64.33203125" style="1" bestFit="1" customWidth="1"/>
    <col min="10291" max="10291" width="16.6640625" style="1" bestFit="1" customWidth="1"/>
    <col min="10292" max="10496" width="9.21875" style="1"/>
    <col min="10497" max="10497" width="3.6640625" style="1" customWidth="1"/>
    <col min="10498" max="10498" width="4.6640625" style="1" customWidth="1"/>
    <col min="10499" max="10499" width="2.6640625" style="1" customWidth="1"/>
    <col min="10500" max="10500" width="7.77734375" style="1" customWidth="1"/>
    <col min="10501" max="10501" width="5.21875" style="1" bestFit="1" customWidth="1"/>
    <col min="10502" max="10502" width="10.77734375" style="1" customWidth="1"/>
    <col min="10503" max="10528" width="5.21875" style="1" customWidth="1"/>
    <col min="10529" max="10529" width="5.44140625" style="1" customWidth="1"/>
    <col min="10530" max="10531" width="5.6640625" style="1" customWidth="1"/>
    <col min="10532" max="10533" width="0" style="1" hidden="1" customWidth="1"/>
    <col min="10534" max="10537" width="9" style="1" customWidth="1"/>
    <col min="10538" max="10540" width="9.21875" style="1"/>
    <col min="10541" max="10541" width="10.21875" style="1" bestFit="1" customWidth="1"/>
    <col min="10542" max="10544" width="9.21875" style="1"/>
    <col min="10545" max="10545" width="16.21875" style="1" bestFit="1" customWidth="1"/>
    <col min="10546" max="10546" width="64.33203125" style="1" bestFit="1" customWidth="1"/>
    <col min="10547" max="10547" width="16.6640625" style="1" bestFit="1" customWidth="1"/>
    <col min="10548" max="10752" width="9.21875" style="1"/>
    <col min="10753" max="10753" width="3.6640625" style="1" customWidth="1"/>
    <col min="10754" max="10754" width="4.6640625" style="1" customWidth="1"/>
    <col min="10755" max="10755" width="2.6640625" style="1" customWidth="1"/>
    <col min="10756" max="10756" width="7.77734375" style="1" customWidth="1"/>
    <col min="10757" max="10757" width="5.21875" style="1" bestFit="1" customWidth="1"/>
    <col min="10758" max="10758" width="10.77734375" style="1" customWidth="1"/>
    <col min="10759" max="10784" width="5.21875" style="1" customWidth="1"/>
    <col min="10785" max="10785" width="5.44140625" style="1" customWidth="1"/>
    <col min="10786" max="10787" width="5.6640625" style="1" customWidth="1"/>
    <col min="10788" max="10789" width="0" style="1" hidden="1" customWidth="1"/>
    <col min="10790" max="10793" width="9" style="1" customWidth="1"/>
    <col min="10794" max="10796" width="9.21875" style="1"/>
    <col min="10797" max="10797" width="10.21875" style="1" bestFit="1" customWidth="1"/>
    <col min="10798" max="10800" width="9.21875" style="1"/>
    <col min="10801" max="10801" width="16.21875" style="1" bestFit="1" customWidth="1"/>
    <col min="10802" max="10802" width="64.33203125" style="1" bestFit="1" customWidth="1"/>
    <col min="10803" max="10803" width="16.6640625" style="1" bestFit="1" customWidth="1"/>
    <col min="10804" max="11008" width="9.21875" style="1"/>
    <col min="11009" max="11009" width="3.6640625" style="1" customWidth="1"/>
    <col min="11010" max="11010" width="4.6640625" style="1" customWidth="1"/>
    <col min="11011" max="11011" width="2.6640625" style="1" customWidth="1"/>
    <col min="11012" max="11012" width="7.77734375" style="1" customWidth="1"/>
    <col min="11013" max="11013" width="5.21875" style="1" bestFit="1" customWidth="1"/>
    <col min="11014" max="11014" width="10.77734375" style="1" customWidth="1"/>
    <col min="11015" max="11040" width="5.21875" style="1" customWidth="1"/>
    <col min="11041" max="11041" width="5.44140625" style="1" customWidth="1"/>
    <col min="11042" max="11043" width="5.6640625" style="1" customWidth="1"/>
    <col min="11044" max="11045" width="0" style="1" hidden="1" customWidth="1"/>
    <col min="11046" max="11049" width="9" style="1" customWidth="1"/>
    <col min="11050" max="11052" width="9.21875" style="1"/>
    <col min="11053" max="11053" width="10.21875" style="1" bestFit="1" customWidth="1"/>
    <col min="11054" max="11056" width="9.21875" style="1"/>
    <col min="11057" max="11057" width="16.21875" style="1" bestFit="1" customWidth="1"/>
    <col min="11058" max="11058" width="64.33203125" style="1" bestFit="1" customWidth="1"/>
    <col min="11059" max="11059" width="16.6640625" style="1" bestFit="1" customWidth="1"/>
    <col min="11060" max="11264" width="9.21875" style="1"/>
    <col min="11265" max="11265" width="3.6640625" style="1" customWidth="1"/>
    <col min="11266" max="11266" width="4.6640625" style="1" customWidth="1"/>
    <col min="11267" max="11267" width="2.6640625" style="1" customWidth="1"/>
    <col min="11268" max="11268" width="7.77734375" style="1" customWidth="1"/>
    <col min="11269" max="11269" width="5.21875" style="1" bestFit="1" customWidth="1"/>
    <col min="11270" max="11270" width="10.77734375" style="1" customWidth="1"/>
    <col min="11271" max="11296" width="5.21875" style="1" customWidth="1"/>
    <col min="11297" max="11297" width="5.44140625" style="1" customWidth="1"/>
    <col min="11298" max="11299" width="5.6640625" style="1" customWidth="1"/>
    <col min="11300" max="11301" width="0" style="1" hidden="1" customWidth="1"/>
    <col min="11302" max="11305" width="9" style="1" customWidth="1"/>
    <col min="11306" max="11308" width="9.21875" style="1"/>
    <col min="11309" max="11309" width="10.21875" style="1" bestFit="1" customWidth="1"/>
    <col min="11310" max="11312" width="9.21875" style="1"/>
    <col min="11313" max="11313" width="16.21875" style="1" bestFit="1" customWidth="1"/>
    <col min="11314" max="11314" width="64.33203125" style="1" bestFit="1" customWidth="1"/>
    <col min="11315" max="11315" width="16.6640625" style="1" bestFit="1" customWidth="1"/>
    <col min="11316" max="11520" width="9.21875" style="1"/>
    <col min="11521" max="11521" width="3.6640625" style="1" customWidth="1"/>
    <col min="11522" max="11522" width="4.6640625" style="1" customWidth="1"/>
    <col min="11523" max="11523" width="2.6640625" style="1" customWidth="1"/>
    <col min="11524" max="11524" width="7.77734375" style="1" customWidth="1"/>
    <col min="11525" max="11525" width="5.21875" style="1" bestFit="1" customWidth="1"/>
    <col min="11526" max="11526" width="10.77734375" style="1" customWidth="1"/>
    <col min="11527" max="11552" width="5.21875" style="1" customWidth="1"/>
    <col min="11553" max="11553" width="5.44140625" style="1" customWidth="1"/>
    <col min="11554" max="11555" width="5.6640625" style="1" customWidth="1"/>
    <col min="11556" max="11557" width="0" style="1" hidden="1" customWidth="1"/>
    <col min="11558" max="11561" width="9" style="1" customWidth="1"/>
    <col min="11562" max="11564" width="9.21875" style="1"/>
    <col min="11565" max="11565" width="10.21875" style="1" bestFit="1" customWidth="1"/>
    <col min="11566" max="11568" width="9.21875" style="1"/>
    <col min="11569" max="11569" width="16.21875" style="1" bestFit="1" customWidth="1"/>
    <col min="11570" max="11570" width="64.33203125" style="1" bestFit="1" customWidth="1"/>
    <col min="11571" max="11571" width="16.6640625" style="1" bestFit="1" customWidth="1"/>
    <col min="11572" max="11776" width="9.21875" style="1"/>
    <col min="11777" max="11777" width="3.6640625" style="1" customWidth="1"/>
    <col min="11778" max="11778" width="4.6640625" style="1" customWidth="1"/>
    <col min="11779" max="11779" width="2.6640625" style="1" customWidth="1"/>
    <col min="11780" max="11780" width="7.77734375" style="1" customWidth="1"/>
    <col min="11781" max="11781" width="5.21875" style="1" bestFit="1" customWidth="1"/>
    <col min="11782" max="11782" width="10.77734375" style="1" customWidth="1"/>
    <col min="11783" max="11808" width="5.21875" style="1" customWidth="1"/>
    <col min="11809" max="11809" width="5.44140625" style="1" customWidth="1"/>
    <col min="11810" max="11811" width="5.6640625" style="1" customWidth="1"/>
    <col min="11812" max="11813" width="0" style="1" hidden="1" customWidth="1"/>
    <col min="11814" max="11817" width="9" style="1" customWidth="1"/>
    <col min="11818" max="11820" width="9.21875" style="1"/>
    <col min="11821" max="11821" width="10.21875" style="1" bestFit="1" customWidth="1"/>
    <col min="11822" max="11824" width="9.21875" style="1"/>
    <col min="11825" max="11825" width="16.21875" style="1" bestFit="1" customWidth="1"/>
    <col min="11826" max="11826" width="64.33203125" style="1" bestFit="1" customWidth="1"/>
    <col min="11827" max="11827" width="16.6640625" style="1" bestFit="1" customWidth="1"/>
    <col min="11828" max="12032" width="9.21875" style="1"/>
    <col min="12033" max="12033" width="3.6640625" style="1" customWidth="1"/>
    <col min="12034" max="12034" width="4.6640625" style="1" customWidth="1"/>
    <col min="12035" max="12035" width="2.6640625" style="1" customWidth="1"/>
    <col min="12036" max="12036" width="7.77734375" style="1" customWidth="1"/>
    <col min="12037" max="12037" width="5.21875" style="1" bestFit="1" customWidth="1"/>
    <col min="12038" max="12038" width="10.77734375" style="1" customWidth="1"/>
    <col min="12039" max="12064" width="5.21875" style="1" customWidth="1"/>
    <col min="12065" max="12065" width="5.44140625" style="1" customWidth="1"/>
    <col min="12066" max="12067" width="5.6640625" style="1" customWidth="1"/>
    <col min="12068" max="12069" width="0" style="1" hidden="1" customWidth="1"/>
    <col min="12070" max="12073" width="9" style="1" customWidth="1"/>
    <col min="12074" max="12076" width="9.21875" style="1"/>
    <col min="12077" max="12077" width="10.21875" style="1" bestFit="1" customWidth="1"/>
    <col min="12078" max="12080" width="9.21875" style="1"/>
    <col min="12081" max="12081" width="16.21875" style="1" bestFit="1" customWidth="1"/>
    <col min="12082" max="12082" width="64.33203125" style="1" bestFit="1" customWidth="1"/>
    <col min="12083" max="12083" width="16.6640625" style="1" bestFit="1" customWidth="1"/>
    <col min="12084" max="12288" width="9.21875" style="1"/>
    <col min="12289" max="12289" width="3.6640625" style="1" customWidth="1"/>
    <col min="12290" max="12290" width="4.6640625" style="1" customWidth="1"/>
    <col min="12291" max="12291" width="2.6640625" style="1" customWidth="1"/>
    <col min="12292" max="12292" width="7.77734375" style="1" customWidth="1"/>
    <col min="12293" max="12293" width="5.21875" style="1" bestFit="1" customWidth="1"/>
    <col min="12294" max="12294" width="10.77734375" style="1" customWidth="1"/>
    <col min="12295" max="12320" width="5.21875" style="1" customWidth="1"/>
    <col min="12321" max="12321" width="5.44140625" style="1" customWidth="1"/>
    <col min="12322" max="12323" width="5.6640625" style="1" customWidth="1"/>
    <col min="12324" max="12325" width="0" style="1" hidden="1" customWidth="1"/>
    <col min="12326" max="12329" width="9" style="1" customWidth="1"/>
    <col min="12330" max="12332" width="9.21875" style="1"/>
    <col min="12333" max="12333" width="10.21875" style="1" bestFit="1" customWidth="1"/>
    <col min="12334" max="12336" width="9.21875" style="1"/>
    <col min="12337" max="12337" width="16.21875" style="1" bestFit="1" customWidth="1"/>
    <col min="12338" max="12338" width="64.33203125" style="1" bestFit="1" customWidth="1"/>
    <col min="12339" max="12339" width="16.6640625" style="1" bestFit="1" customWidth="1"/>
    <col min="12340" max="12544" width="9.21875" style="1"/>
    <col min="12545" max="12545" width="3.6640625" style="1" customWidth="1"/>
    <col min="12546" max="12546" width="4.6640625" style="1" customWidth="1"/>
    <col min="12547" max="12547" width="2.6640625" style="1" customWidth="1"/>
    <col min="12548" max="12548" width="7.77734375" style="1" customWidth="1"/>
    <col min="12549" max="12549" width="5.21875" style="1" bestFit="1" customWidth="1"/>
    <col min="12550" max="12550" width="10.77734375" style="1" customWidth="1"/>
    <col min="12551" max="12576" width="5.21875" style="1" customWidth="1"/>
    <col min="12577" max="12577" width="5.44140625" style="1" customWidth="1"/>
    <col min="12578" max="12579" width="5.6640625" style="1" customWidth="1"/>
    <col min="12580" max="12581" width="0" style="1" hidden="1" customWidth="1"/>
    <col min="12582" max="12585" width="9" style="1" customWidth="1"/>
    <col min="12586" max="12588" width="9.21875" style="1"/>
    <col min="12589" max="12589" width="10.21875" style="1" bestFit="1" customWidth="1"/>
    <col min="12590" max="12592" width="9.21875" style="1"/>
    <col min="12593" max="12593" width="16.21875" style="1" bestFit="1" customWidth="1"/>
    <col min="12594" max="12594" width="64.33203125" style="1" bestFit="1" customWidth="1"/>
    <col min="12595" max="12595" width="16.6640625" style="1" bestFit="1" customWidth="1"/>
    <col min="12596" max="12800" width="9.21875" style="1"/>
    <col min="12801" max="12801" width="3.6640625" style="1" customWidth="1"/>
    <col min="12802" max="12802" width="4.6640625" style="1" customWidth="1"/>
    <col min="12803" max="12803" width="2.6640625" style="1" customWidth="1"/>
    <col min="12804" max="12804" width="7.77734375" style="1" customWidth="1"/>
    <col min="12805" max="12805" width="5.21875" style="1" bestFit="1" customWidth="1"/>
    <col min="12806" max="12806" width="10.77734375" style="1" customWidth="1"/>
    <col min="12807" max="12832" width="5.21875" style="1" customWidth="1"/>
    <col min="12833" max="12833" width="5.44140625" style="1" customWidth="1"/>
    <col min="12834" max="12835" width="5.6640625" style="1" customWidth="1"/>
    <col min="12836" max="12837" width="0" style="1" hidden="1" customWidth="1"/>
    <col min="12838" max="12841" width="9" style="1" customWidth="1"/>
    <col min="12842" max="12844" width="9.21875" style="1"/>
    <col min="12845" max="12845" width="10.21875" style="1" bestFit="1" customWidth="1"/>
    <col min="12846" max="12848" width="9.21875" style="1"/>
    <col min="12849" max="12849" width="16.21875" style="1" bestFit="1" customWidth="1"/>
    <col min="12850" max="12850" width="64.33203125" style="1" bestFit="1" customWidth="1"/>
    <col min="12851" max="12851" width="16.6640625" style="1" bestFit="1" customWidth="1"/>
    <col min="12852" max="13056" width="9.21875" style="1"/>
    <col min="13057" max="13057" width="3.6640625" style="1" customWidth="1"/>
    <col min="13058" max="13058" width="4.6640625" style="1" customWidth="1"/>
    <col min="13059" max="13059" width="2.6640625" style="1" customWidth="1"/>
    <col min="13060" max="13060" width="7.77734375" style="1" customWidth="1"/>
    <col min="13061" max="13061" width="5.21875" style="1" bestFit="1" customWidth="1"/>
    <col min="13062" max="13062" width="10.77734375" style="1" customWidth="1"/>
    <col min="13063" max="13088" width="5.21875" style="1" customWidth="1"/>
    <col min="13089" max="13089" width="5.44140625" style="1" customWidth="1"/>
    <col min="13090" max="13091" width="5.6640625" style="1" customWidth="1"/>
    <col min="13092" max="13093" width="0" style="1" hidden="1" customWidth="1"/>
    <col min="13094" max="13097" width="9" style="1" customWidth="1"/>
    <col min="13098" max="13100" width="9.21875" style="1"/>
    <col min="13101" max="13101" width="10.21875" style="1" bestFit="1" customWidth="1"/>
    <col min="13102" max="13104" width="9.21875" style="1"/>
    <col min="13105" max="13105" width="16.21875" style="1" bestFit="1" customWidth="1"/>
    <col min="13106" max="13106" width="64.33203125" style="1" bestFit="1" customWidth="1"/>
    <col min="13107" max="13107" width="16.6640625" style="1" bestFit="1" customWidth="1"/>
    <col min="13108" max="13312" width="9.21875" style="1"/>
    <col min="13313" max="13313" width="3.6640625" style="1" customWidth="1"/>
    <col min="13314" max="13314" width="4.6640625" style="1" customWidth="1"/>
    <col min="13315" max="13315" width="2.6640625" style="1" customWidth="1"/>
    <col min="13316" max="13316" width="7.77734375" style="1" customWidth="1"/>
    <col min="13317" max="13317" width="5.21875" style="1" bestFit="1" customWidth="1"/>
    <col min="13318" max="13318" width="10.77734375" style="1" customWidth="1"/>
    <col min="13319" max="13344" width="5.21875" style="1" customWidth="1"/>
    <col min="13345" max="13345" width="5.44140625" style="1" customWidth="1"/>
    <col min="13346" max="13347" width="5.6640625" style="1" customWidth="1"/>
    <col min="13348" max="13349" width="0" style="1" hidden="1" customWidth="1"/>
    <col min="13350" max="13353" width="9" style="1" customWidth="1"/>
    <col min="13354" max="13356" width="9.21875" style="1"/>
    <col min="13357" max="13357" width="10.21875" style="1" bestFit="1" customWidth="1"/>
    <col min="13358" max="13360" width="9.21875" style="1"/>
    <col min="13361" max="13361" width="16.21875" style="1" bestFit="1" customWidth="1"/>
    <col min="13362" max="13362" width="64.33203125" style="1" bestFit="1" customWidth="1"/>
    <col min="13363" max="13363" width="16.6640625" style="1" bestFit="1" customWidth="1"/>
    <col min="13364" max="13568" width="9.21875" style="1"/>
    <col min="13569" max="13569" width="3.6640625" style="1" customWidth="1"/>
    <col min="13570" max="13570" width="4.6640625" style="1" customWidth="1"/>
    <col min="13571" max="13571" width="2.6640625" style="1" customWidth="1"/>
    <col min="13572" max="13572" width="7.77734375" style="1" customWidth="1"/>
    <col min="13573" max="13573" width="5.21875" style="1" bestFit="1" customWidth="1"/>
    <col min="13574" max="13574" width="10.77734375" style="1" customWidth="1"/>
    <col min="13575" max="13600" width="5.21875" style="1" customWidth="1"/>
    <col min="13601" max="13601" width="5.44140625" style="1" customWidth="1"/>
    <col min="13602" max="13603" width="5.6640625" style="1" customWidth="1"/>
    <col min="13604" max="13605" width="0" style="1" hidden="1" customWidth="1"/>
    <col min="13606" max="13609" width="9" style="1" customWidth="1"/>
    <col min="13610" max="13612" width="9.21875" style="1"/>
    <col min="13613" max="13613" width="10.21875" style="1" bestFit="1" customWidth="1"/>
    <col min="13614" max="13616" width="9.21875" style="1"/>
    <col min="13617" max="13617" width="16.21875" style="1" bestFit="1" customWidth="1"/>
    <col min="13618" max="13618" width="64.33203125" style="1" bestFit="1" customWidth="1"/>
    <col min="13619" max="13619" width="16.6640625" style="1" bestFit="1" customWidth="1"/>
    <col min="13620" max="13824" width="9.21875" style="1"/>
    <col min="13825" max="13825" width="3.6640625" style="1" customWidth="1"/>
    <col min="13826" max="13826" width="4.6640625" style="1" customWidth="1"/>
    <col min="13827" max="13827" width="2.6640625" style="1" customWidth="1"/>
    <col min="13828" max="13828" width="7.77734375" style="1" customWidth="1"/>
    <col min="13829" max="13829" width="5.21875" style="1" bestFit="1" customWidth="1"/>
    <col min="13830" max="13830" width="10.77734375" style="1" customWidth="1"/>
    <col min="13831" max="13856" width="5.21875" style="1" customWidth="1"/>
    <col min="13857" max="13857" width="5.44140625" style="1" customWidth="1"/>
    <col min="13858" max="13859" width="5.6640625" style="1" customWidth="1"/>
    <col min="13860" max="13861" width="0" style="1" hidden="1" customWidth="1"/>
    <col min="13862" max="13865" width="9" style="1" customWidth="1"/>
    <col min="13866" max="13868" width="9.21875" style="1"/>
    <col min="13869" max="13869" width="10.21875" style="1" bestFit="1" customWidth="1"/>
    <col min="13870" max="13872" width="9.21875" style="1"/>
    <col min="13873" max="13873" width="16.21875" style="1" bestFit="1" customWidth="1"/>
    <col min="13874" max="13874" width="64.33203125" style="1" bestFit="1" customWidth="1"/>
    <col min="13875" max="13875" width="16.6640625" style="1" bestFit="1" customWidth="1"/>
    <col min="13876" max="14080" width="9.21875" style="1"/>
    <col min="14081" max="14081" width="3.6640625" style="1" customWidth="1"/>
    <col min="14082" max="14082" width="4.6640625" style="1" customWidth="1"/>
    <col min="14083" max="14083" width="2.6640625" style="1" customWidth="1"/>
    <col min="14084" max="14084" width="7.77734375" style="1" customWidth="1"/>
    <col min="14085" max="14085" width="5.21875" style="1" bestFit="1" customWidth="1"/>
    <col min="14086" max="14086" width="10.77734375" style="1" customWidth="1"/>
    <col min="14087" max="14112" width="5.21875" style="1" customWidth="1"/>
    <col min="14113" max="14113" width="5.44140625" style="1" customWidth="1"/>
    <col min="14114" max="14115" width="5.6640625" style="1" customWidth="1"/>
    <col min="14116" max="14117" width="0" style="1" hidden="1" customWidth="1"/>
    <col min="14118" max="14121" width="9" style="1" customWidth="1"/>
    <col min="14122" max="14124" width="9.21875" style="1"/>
    <col min="14125" max="14125" width="10.21875" style="1" bestFit="1" customWidth="1"/>
    <col min="14126" max="14128" width="9.21875" style="1"/>
    <col min="14129" max="14129" width="16.21875" style="1" bestFit="1" customWidth="1"/>
    <col min="14130" max="14130" width="64.33203125" style="1" bestFit="1" customWidth="1"/>
    <col min="14131" max="14131" width="16.6640625" style="1" bestFit="1" customWidth="1"/>
    <col min="14132" max="14336" width="9.21875" style="1"/>
    <col min="14337" max="14337" width="3.6640625" style="1" customWidth="1"/>
    <col min="14338" max="14338" width="4.6640625" style="1" customWidth="1"/>
    <col min="14339" max="14339" width="2.6640625" style="1" customWidth="1"/>
    <col min="14340" max="14340" width="7.77734375" style="1" customWidth="1"/>
    <col min="14341" max="14341" width="5.21875" style="1" bestFit="1" customWidth="1"/>
    <col min="14342" max="14342" width="10.77734375" style="1" customWidth="1"/>
    <col min="14343" max="14368" width="5.21875" style="1" customWidth="1"/>
    <col min="14369" max="14369" width="5.44140625" style="1" customWidth="1"/>
    <col min="14370" max="14371" width="5.6640625" style="1" customWidth="1"/>
    <col min="14372" max="14373" width="0" style="1" hidden="1" customWidth="1"/>
    <col min="14374" max="14377" width="9" style="1" customWidth="1"/>
    <col min="14378" max="14380" width="9.21875" style="1"/>
    <col min="14381" max="14381" width="10.21875" style="1" bestFit="1" customWidth="1"/>
    <col min="14382" max="14384" width="9.21875" style="1"/>
    <col min="14385" max="14385" width="16.21875" style="1" bestFit="1" customWidth="1"/>
    <col min="14386" max="14386" width="64.33203125" style="1" bestFit="1" customWidth="1"/>
    <col min="14387" max="14387" width="16.6640625" style="1" bestFit="1" customWidth="1"/>
    <col min="14388" max="14592" width="9.21875" style="1"/>
    <col min="14593" max="14593" width="3.6640625" style="1" customWidth="1"/>
    <col min="14594" max="14594" width="4.6640625" style="1" customWidth="1"/>
    <col min="14595" max="14595" width="2.6640625" style="1" customWidth="1"/>
    <col min="14596" max="14596" width="7.77734375" style="1" customWidth="1"/>
    <col min="14597" max="14597" width="5.21875" style="1" bestFit="1" customWidth="1"/>
    <col min="14598" max="14598" width="10.77734375" style="1" customWidth="1"/>
    <col min="14599" max="14624" width="5.21875" style="1" customWidth="1"/>
    <col min="14625" max="14625" width="5.44140625" style="1" customWidth="1"/>
    <col min="14626" max="14627" width="5.6640625" style="1" customWidth="1"/>
    <col min="14628" max="14629" width="0" style="1" hidden="1" customWidth="1"/>
    <col min="14630" max="14633" width="9" style="1" customWidth="1"/>
    <col min="14634" max="14636" width="9.21875" style="1"/>
    <col min="14637" max="14637" width="10.21875" style="1" bestFit="1" customWidth="1"/>
    <col min="14638" max="14640" width="9.21875" style="1"/>
    <col min="14641" max="14641" width="16.21875" style="1" bestFit="1" customWidth="1"/>
    <col min="14642" max="14642" width="64.33203125" style="1" bestFit="1" customWidth="1"/>
    <col min="14643" max="14643" width="16.6640625" style="1" bestFit="1" customWidth="1"/>
    <col min="14644" max="14848" width="9.21875" style="1"/>
    <col min="14849" max="14849" width="3.6640625" style="1" customWidth="1"/>
    <col min="14850" max="14850" width="4.6640625" style="1" customWidth="1"/>
    <col min="14851" max="14851" width="2.6640625" style="1" customWidth="1"/>
    <col min="14852" max="14852" width="7.77734375" style="1" customWidth="1"/>
    <col min="14853" max="14853" width="5.21875" style="1" bestFit="1" customWidth="1"/>
    <col min="14854" max="14854" width="10.77734375" style="1" customWidth="1"/>
    <col min="14855" max="14880" width="5.21875" style="1" customWidth="1"/>
    <col min="14881" max="14881" width="5.44140625" style="1" customWidth="1"/>
    <col min="14882" max="14883" width="5.6640625" style="1" customWidth="1"/>
    <col min="14884" max="14885" width="0" style="1" hidden="1" customWidth="1"/>
    <col min="14886" max="14889" width="9" style="1" customWidth="1"/>
    <col min="14890" max="14892" width="9.21875" style="1"/>
    <col min="14893" max="14893" width="10.21875" style="1" bestFit="1" customWidth="1"/>
    <col min="14894" max="14896" width="9.21875" style="1"/>
    <col min="14897" max="14897" width="16.21875" style="1" bestFit="1" customWidth="1"/>
    <col min="14898" max="14898" width="64.33203125" style="1" bestFit="1" customWidth="1"/>
    <col min="14899" max="14899" width="16.6640625" style="1" bestFit="1" customWidth="1"/>
    <col min="14900" max="15104" width="9.21875" style="1"/>
    <col min="15105" max="15105" width="3.6640625" style="1" customWidth="1"/>
    <col min="15106" max="15106" width="4.6640625" style="1" customWidth="1"/>
    <col min="15107" max="15107" width="2.6640625" style="1" customWidth="1"/>
    <col min="15108" max="15108" width="7.77734375" style="1" customWidth="1"/>
    <col min="15109" max="15109" width="5.21875" style="1" bestFit="1" customWidth="1"/>
    <col min="15110" max="15110" width="10.77734375" style="1" customWidth="1"/>
    <col min="15111" max="15136" width="5.21875" style="1" customWidth="1"/>
    <col min="15137" max="15137" width="5.44140625" style="1" customWidth="1"/>
    <col min="15138" max="15139" width="5.6640625" style="1" customWidth="1"/>
    <col min="15140" max="15141" width="0" style="1" hidden="1" customWidth="1"/>
    <col min="15142" max="15145" width="9" style="1" customWidth="1"/>
    <col min="15146" max="15148" width="9.21875" style="1"/>
    <col min="15149" max="15149" width="10.21875" style="1" bestFit="1" customWidth="1"/>
    <col min="15150" max="15152" width="9.21875" style="1"/>
    <col min="15153" max="15153" width="16.21875" style="1" bestFit="1" customWidth="1"/>
    <col min="15154" max="15154" width="64.33203125" style="1" bestFit="1" customWidth="1"/>
    <col min="15155" max="15155" width="16.6640625" style="1" bestFit="1" customWidth="1"/>
    <col min="15156" max="15360" width="9.21875" style="1"/>
    <col min="15361" max="15361" width="3.6640625" style="1" customWidth="1"/>
    <col min="15362" max="15362" width="4.6640625" style="1" customWidth="1"/>
    <col min="15363" max="15363" width="2.6640625" style="1" customWidth="1"/>
    <col min="15364" max="15364" width="7.77734375" style="1" customWidth="1"/>
    <col min="15365" max="15365" width="5.21875" style="1" bestFit="1" customWidth="1"/>
    <col min="15366" max="15366" width="10.77734375" style="1" customWidth="1"/>
    <col min="15367" max="15392" width="5.21875" style="1" customWidth="1"/>
    <col min="15393" max="15393" width="5.44140625" style="1" customWidth="1"/>
    <col min="15394" max="15395" width="5.6640625" style="1" customWidth="1"/>
    <col min="15396" max="15397" width="0" style="1" hidden="1" customWidth="1"/>
    <col min="15398" max="15401" width="9" style="1" customWidth="1"/>
    <col min="15402" max="15404" width="9.21875" style="1"/>
    <col min="15405" max="15405" width="10.21875" style="1" bestFit="1" customWidth="1"/>
    <col min="15406" max="15408" width="9.21875" style="1"/>
    <col min="15409" max="15409" width="16.21875" style="1" bestFit="1" customWidth="1"/>
    <col min="15410" max="15410" width="64.33203125" style="1" bestFit="1" customWidth="1"/>
    <col min="15411" max="15411" width="16.6640625" style="1" bestFit="1" customWidth="1"/>
    <col min="15412" max="15616" width="9.21875" style="1"/>
    <col min="15617" max="15617" width="3.6640625" style="1" customWidth="1"/>
    <col min="15618" max="15618" width="4.6640625" style="1" customWidth="1"/>
    <col min="15619" max="15619" width="2.6640625" style="1" customWidth="1"/>
    <col min="15620" max="15620" width="7.77734375" style="1" customWidth="1"/>
    <col min="15621" max="15621" width="5.21875" style="1" bestFit="1" customWidth="1"/>
    <col min="15622" max="15622" width="10.77734375" style="1" customWidth="1"/>
    <col min="15623" max="15648" width="5.21875" style="1" customWidth="1"/>
    <col min="15649" max="15649" width="5.44140625" style="1" customWidth="1"/>
    <col min="15650" max="15651" width="5.6640625" style="1" customWidth="1"/>
    <col min="15652" max="15653" width="0" style="1" hidden="1" customWidth="1"/>
    <col min="15654" max="15657" width="9" style="1" customWidth="1"/>
    <col min="15658" max="15660" width="9.21875" style="1"/>
    <col min="15661" max="15661" width="10.21875" style="1" bestFit="1" customWidth="1"/>
    <col min="15662" max="15664" width="9.21875" style="1"/>
    <col min="15665" max="15665" width="16.21875" style="1" bestFit="1" customWidth="1"/>
    <col min="15666" max="15666" width="64.33203125" style="1" bestFit="1" customWidth="1"/>
    <col min="15667" max="15667" width="16.6640625" style="1" bestFit="1" customWidth="1"/>
    <col min="15668" max="15872" width="9.21875" style="1"/>
    <col min="15873" max="15873" width="3.6640625" style="1" customWidth="1"/>
    <col min="15874" max="15874" width="4.6640625" style="1" customWidth="1"/>
    <col min="15875" max="15875" width="2.6640625" style="1" customWidth="1"/>
    <col min="15876" max="15876" width="7.77734375" style="1" customWidth="1"/>
    <col min="15877" max="15877" width="5.21875" style="1" bestFit="1" customWidth="1"/>
    <col min="15878" max="15878" width="10.77734375" style="1" customWidth="1"/>
    <col min="15879" max="15904" width="5.21875" style="1" customWidth="1"/>
    <col min="15905" max="15905" width="5.44140625" style="1" customWidth="1"/>
    <col min="15906" max="15907" width="5.6640625" style="1" customWidth="1"/>
    <col min="15908" max="15909" width="0" style="1" hidden="1" customWidth="1"/>
    <col min="15910" max="15913" width="9" style="1" customWidth="1"/>
    <col min="15914" max="15916" width="9.21875" style="1"/>
    <col min="15917" max="15917" width="10.21875" style="1" bestFit="1" customWidth="1"/>
    <col min="15918" max="15920" width="9.21875" style="1"/>
    <col min="15921" max="15921" width="16.21875" style="1" bestFit="1" customWidth="1"/>
    <col min="15922" max="15922" width="64.33203125" style="1" bestFit="1" customWidth="1"/>
    <col min="15923" max="15923" width="16.6640625" style="1" bestFit="1" customWidth="1"/>
    <col min="15924" max="16128" width="9.21875" style="1"/>
    <col min="16129" max="16129" width="3.6640625" style="1" customWidth="1"/>
    <col min="16130" max="16130" width="4.6640625" style="1" customWidth="1"/>
    <col min="16131" max="16131" width="2.6640625" style="1" customWidth="1"/>
    <col min="16132" max="16132" width="7.77734375" style="1" customWidth="1"/>
    <col min="16133" max="16133" width="5.21875" style="1" bestFit="1" customWidth="1"/>
    <col min="16134" max="16134" width="10.77734375" style="1" customWidth="1"/>
    <col min="16135" max="16160" width="5.21875" style="1" customWidth="1"/>
    <col min="16161" max="16161" width="5.44140625" style="1" customWidth="1"/>
    <col min="16162" max="16163" width="5.6640625" style="1" customWidth="1"/>
    <col min="16164" max="16165" width="0" style="1" hidden="1" customWidth="1"/>
    <col min="16166" max="16169" width="9" style="1" customWidth="1"/>
    <col min="16170" max="16172" width="9.21875" style="1"/>
    <col min="16173" max="16173" width="10.21875" style="1" bestFit="1" customWidth="1"/>
    <col min="16174" max="16176" width="9.21875" style="1"/>
    <col min="16177" max="16177" width="16.21875" style="1" bestFit="1" customWidth="1"/>
    <col min="16178" max="16178" width="64.33203125" style="1" bestFit="1" customWidth="1"/>
    <col min="16179" max="16179" width="16.6640625" style="1" bestFit="1" customWidth="1"/>
    <col min="16180" max="16384" width="9.21875" style="1"/>
  </cols>
  <sheetData>
    <row r="1" spans="1:53">
      <c r="A1" s="22" t="s">
        <v>0</v>
      </c>
      <c r="B1" s="23"/>
      <c r="C1" s="23"/>
      <c r="D1" s="23"/>
      <c r="E1" s="23"/>
      <c r="F1" s="23"/>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t="s">
        <v>57</v>
      </c>
      <c r="AO1" s="24">
        <v>8</v>
      </c>
      <c r="AP1" s="23"/>
      <c r="AQ1" s="23"/>
      <c r="AR1" s="23"/>
      <c r="AS1"/>
      <c r="AT1"/>
      <c r="AU1"/>
      <c r="AV1"/>
      <c r="AW1"/>
      <c r="AX1"/>
      <c r="AY1"/>
      <c r="AZ1"/>
      <c r="BA1"/>
    </row>
    <row r="2" spans="1:53">
      <c r="A2" s="22" t="s">
        <v>1</v>
      </c>
      <c r="B2" s="23"/>
      <c r="C2" s="23"/>
      <c r="D2" s="23"/>
      <c r="E2" s="23"/>
      <c r="F2" s="23"/>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3"/>
      <c r="AM2" s="23"/>
      <c r="AN2" s="23"/>
      <c r="AO2" s="23"/>
      <c r="AP2" s="23"/>
      <c r="AQ2" s="23"/>
      <c r="AR2" s="23"/>
      <c r="AS2"/>
      <c r="AT2"/>
      <c r="AU2"/>
      <c r="AV2"/>
      <c r="AW2"/>
      <c r="AX2"/>
      <c r="AY2"/>
      <c r="AZ2"/>
      <c r="BA2"/>
    </row>
    <row r="3" spans="1:53">
      <c r="A3" s="103" t="s">
        <v>2</v>
      </c>
      <c r="B3" s="103"/>
      <c r="C3" s="104" t="s">
        <v>26</v>
      </c>
      <c r="D3" s="104"/>
      <c r="E3" s="23" t="s">
        <v>4</v>
      </c>
      <c r="F3" s="25">
        <v>2569</v>
      </c>
      <c r="G3" s="25"/>
      <c r="H3" s="25"/>
      <c r="I3" s="25"/>
      <c r="J3" s="25"/>
      <c r="K3" s="25"/>
      <c r="L3" s="25"/>
      <c r="M3" s="25"/>
      <c r="N3" s="25"/>
      <c r="O3" s="25"/>
      <c r="P3" s="25"/>
      <c r="Q3" s="25"/>
      <c r="R3" s="25"/>
      <c r="S3" s="25"/>
      <c r="T3" s="25"/>
      <c r="U3" s="25"/>
      <c r="V3" s="25"/>
      <c r="W3" s="25"/>
      <c r="X3" s="25"/>
      <c r="Y3" s="26" t="s">
        <v>5</v>
      </c>
      <c r="Z3" s="105"/>
      <c r="AA3" s="105"/>
      <c r="AB3" s="105"/>
      <c r="AC3" s="105"/>
      <c r="AD3" s="105"/>
      <c r="AE3" s="27"/>
      <c r="AF3" s="22" t="s">
        <v>62</v>
      </c>
      <c r="AG3" s="22"/>
      <c r="AH3" s="28"/>
      <c r="AI3" s="28"/>
      <c r="AJ3" s="27"/>
      <c r="AK3" s="29"/>
      <c r="AL3" s="23"/>
      <c r="AM3" s="23"/>
      <c r="AN3" s="23"/>
      <c r="AO3" s="23"/>
      <c r="AP3" s="23"/>
      <c r="AQ3" s="23"/>
      <c r="AR3" s="23"/>
      <c r="AS3"/>
      <c r="AT3"/>
      <c r="AU3"/>
      <c r="AV3"/>
      <c r="AW3"/>
      <c r="AX3"/>
      <c r="AY3"/>
      <c r="AZ3"/>
      <c r="BA3"/>
    </row>
    <row r="4" spans="1:53" s="2" customFormat="1">
      <c r="A4" s="106" t="s">
        <v>6</v>
      </c>
      <c r="B4" s="107"/>
      <c r="C4" s="107"/>
      <c r="D4" s="107"/>
      <c r="E4" s="107"/>
      <c r="F4" s="108"/>
      <c r="G4" s="30">
        <v>1</v>
      </c>
      <c r="H4" s="30">
        <v>2</v>
      </c>
      <c r="I4" s="30">
        <v>3</v>
      </c>
      <c r="J4" s="30">
        <v>4</v>
      </c>
      <c r="K4" s="30">
        <v>5</v>
      </c>
      <c r="L4" s="30">
        <v>6</v>
      </c>
      <c r="M4" s="30">
        <v>7</v>
      </c>
      <c r="N4" s="30">
        <v>8</v>
      </c>
      <c r="O4" s="30">
        <v>9</v>
      </c>
      <c r="P4" s="30">
        <v>10</v>
      </c>
      <c r="Q4" s="30">
        <v>11</v>
      </c>
      <c r="R4" s="30">
        <v>12</v>
      </c>
      <c r="S4" s="30">
        <v>13</v>
      </c>
      <c r="T4" s="30">
        <v>14</v>
      </c>
      <c r="U4" s="30">
        <v>15</v>
      </c>
      <c r="V4" s="30">
        <v>16</v>
      </c>
      <c r="W4" s="30">
        <v>17</v>
      </c>
      <c r="X4" s="30">
        <v>18</v>
      </c>
      <c r="Y4" s="30">
        <v>19</v>
      </c>
      <c r="Z4" s="30">
        <v>20</v>
      </c>
      <c r="AA4" s="30">
        <v>21</v>
      </c>
      <c r="AB4" s="30">
        <v>22</v>
      </c>
      <c r="AC4" s="30">
        <v>23</v>
      </c>
      <c r="AD4" s="30">
        <v>24</v>
      </c>
      <c r="AE4" s="30">
        <v>25</v>
      </c>
      <c r="AF4" s="30">
        <v>26</v>
      </c>
      <c r="AG4" s="30">
        <v>27</v>
      </c>
      <c r="AH4" s="30">
        <v>28</v>
      </c>
      <c r="AI4" s="30">
        <v>29</v>
      </c>
      <c r="AJ4" s="30">
        <v>30</v>
      </c>
      <c r="AK4" s="30">
        <v>31</v>
      </c>
      <c r="AL4" s="30" t="s">
        <v>7</v>
      </c>
      <c r="AM4" s="25"/>
      <c r="AN4" s="25"/>
      <c r="AO4" s="25"/>
      <c r="AP4" s="25"/>
      <c r="AQ4" s="25"/>
      <c r="AR4" s="25"/>
      <c r="AS4"/>
      <c r="AT4"/>
      <c r="AU4"/>
      <c r="AV4"/>
      <c r="AW4"/>
      <c r="AX4"/>
      <c r="AY4"/>
      <c r="AZ4"/>
      <c r="BA4"/>
    </row>
    <row r="5" spans="1:53">
      <c r="A5" s="109" t="s">
        <v>8</v>
      </c>
      <c r="B5" s="110"/>
      <c r="C5" s="110"/>
      <c r="D5" s="110"/>
      <c r="E5" s="110"/>
      <c r="F5" s="11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2"/>
      <c r="AM5" s="23"/>
      <c r="AN5" s="23"/>
      <c r="AO5" s="23"/>
      <c r="AP5" s="23"/>
      <c r="AQ5" s="23"/>
      <c r="AR5" s="23"/>
      <c r="AS5"/>
      <c r="AT5"/>
      <c r="AU5"/>
      <c r="AV5"/>
      <c r="AW5"/>
      <c r="AX5"/>
      <c r="AY5"/>
      <c r="AZ5"/>
      <c r="BA5"/>
    </row>
    <row r="6" spans="1:53">
      <c r="A6" s="33">
        <v>1</v>
      </c>
      <c r="B6" s="112" t="str" cm="1">
        <f t="array" aca="1" ref="B6" ca="1">IFERROR(INDEX(_xlfn._xlws.FILTER(ClientCodeList,COUNTIF('TIME REPORT'!$E$6:$E$37,ClientCodeList)&gt;0),ROWS($B$6:B6)),"")</f>
        <v/>
      </c>
      <c r="C6" s="113"/>
      <c r="D6" s="84" t="str" cm="1">
        <f t="array" aca="1" ref="D6" ca="1">IF($B6="","",IFERROR(INDEX('TIME REPORT'!$H$6:$H$37,MATCH(1,('TIME REPORT'!$E$6:$E$37=$B6)*('TIME REPORT'!$H$6:$H$37&lt;&gt;""),0)),""))</f>
        <v/>
      </c>
      <c r="E6" s="35"/>
      <c r="F6" s="36"/>
      <c r="G6" s="85" t="str">
        <f ca="1">IF($B6="","",SUMIFS('TIME REPORT'!$N$6:$N$37,'TIME REPORT'!$A$6:$A$37,G$4,'TIME REPORT'!$E$6:$E$37,$B6)+SUMIFS('TIME REPORT'!$P$6:$P$37,'TIME REPORT'!$A$6:$A$37,G$4,'TIME REPORT'!$E$6:$E$37,$B6)/60)</f>
        <v/>
      </c>
      <c r="H6" s="85" t="str">
        <f ca="1">IF($B6="","",SUMIFS('TIME REPORT'!$N$6:$N$37,'TIME REPORT'!$A$6:$A$37,H$4,'TIME REPORT'!$E$6:$E$37,$B6)+SUMIFS('TIME REPORT'!$P$6:$P$37,'TIME REPORT'!$A$6:$A$37,H$4,'TIME REPORT'!$E$6:$E$37,$B6)/60)</f>
        <v/>
      </c>
      <c r="I6" s="85" t="str">
        <f ca="1">IF($B6="","",SUMIFS('TIME REPORT'!$N$6:$N$37,'TIME REPORT'!$A$6:$A$37,I$4,'TIME REPORT'!$E$6:$E$37,$B6)+SUMIFS('TIME REPORT'!$P$6:$P$37,'TIME REPORT'!$A$6:$A$37,I$4,'TIME REPORT'!$E$6:$E$37,$B6)/60)</f>
        <v/>
      </c>
      <c r="J6" s="85" t="str">
        <f ca="1">IF($B6="","",SUMIFS('TIME REPORT'!$N$6:$N$37,'TIME REPORT'!$A$6:$A$37,J$4,'TIME REPORT'!$E$6:$E$37,$B6)+SUMIFS('TIME REPORT'!$P$6:$P$37,'TIME REPORT'!$A$6:$A$37,J$4,'TIME REPORT'!$E$6:$E$37,$B6)/60)</f>
        <v/>
      </c>
      <c r="K6" s="85" t="str">
        <f ca="1">IF($B6="","",SUMIFS('TIME REPORT'!$N$6:$N$37,'TIME REPORT'!$A$6:$A$37,K$4,'TIME REPORT'!$E$6:$E$37,$B6)+SUMIFS('TIME REPORT'!$P$6:$P$37,'TIME REPORT'!$A$6:$A$37,K$4,'TIME REPORT'!$E$6:$E$37,$B6)/60)</f>
        <v/>
      </c>
      <c r="L6" s="85" t="str">
        <f ca="1">IF($B6="","",SUMIFS('TIME REPORT'!$N$6:$N$37,'TIME REPORT'!$A$6:$A$37,L$4,'TIME REPORT'!$E$6:$E$37,$B6)+SUMIFS('TIME REPORT'!$P$6:$P$37,'TIME REPORT'!$A$6:$A$37,L$4,'TIME REPORT'!$E$6:$E$37,$B6)/60)</f>
        <v/>
      </c>
      <c r="M6" s="85" t="str">
        <f ca="1">IF($B6="","",SUMIFS('TIME REPORT'!$N$6:$N$37,'TIME REPORT'!$A$6:$A$37,M$4,'TIME REPORT'!$E$6:$E$37,$B6)+SUMIFS('TIME REPORT'!$P$6:$P$37,'TIME REPORT'!$A$6:$A$37,M$4,'TIME REPORT'!$E$6:$E$37,$B6)/60)</f>
        <v/>
      </c>
      <c r="N6" s="85" t="str">
        <f ca="1">IF($B6="","",SUMIFS('TIME REPORT'!$N$6:$N$37,'TIME REPORT'!$A$6:$A$37,N$4,'TIME REPORT'!$E$6:$E$37,$B6)+SUMIFS('TIME REPORT'!$P$6:$P$37,'TIME REPORT'!$A$6:$A$37,N$4,'TIME REPORT'!$E$6:$E$37,$B6)/60)</f>
        <v/>
      </c>
      <c r="O6" s="85" t="str">
        <f ca="1">IF($B6="","",SUMIFS('TIME REPORT'!$N$6:$N$37,'TIME REPORT'!$A$6:$A$37,O$4,'TIME REPORT'!$E$6:$E$37,$B6)+SUMIFS('TIME REPORT'!$P$6:$P$37,'TIME REPORT'!$A$6:$A$37,O$4,'TIME REPORT'!$E$6:$E$37,$B6)/60)</f>
        <v/>
      </c>
      <c r="P6" s="85" t="str">
        <f ca="1">IF($B6="","",SUMIFS('TIME REPORT'!$N$6:$N$37,'TIME REPORT'!$A$6:$A$37,P$4,'TIME REPORT'!$E$6:$E$37,$B6)+SUMIFS('TIME REPORT'!$P$6:$P$37,'TIME REPORT'!$A$6:$A$37,P$4,'TIME REPORT'!$E$6:$E$37,$B6)/60)</f>
        <v/>
      </c>
      <c r="Q6" s="85" t="str">
        <f ca="1">IF($B6="","",SUMIFS('TIME REPORT'!$N$6:$N$37,'TIME REPORT'!$A$6:$A$37,Q$4,'TIME REPORT'!$E$6:$E$37,$B6)+SUMIFS('TIME REPORT'!$P$6:$P$37,'TIME REPORT'!$A$6:$A$37,Q$4,'TIME REPORT'!$E$6:$E$37,$B6)/60)</f>
        <v/>
      </c>
      <c r="R6" s="85" t="str">
        <f ca="1">IF($B6="","",SUMIFS('TIME REPORT'!$N$6:$N$37,'TIME REPORT'!$A$6:$A$37,R$4,'TIME REPORT'!$E$6:$E$37,$B6)+SUMIFS('TIME REPORT'!$P$6:$P$37,'TIME REPORT'!$A$6:$A$37,R$4,'TIME REPORT'!$E$6:$E$37,$B6)/60)</f>
        <v/>
      </c>
      <c r="S6" s="85" t="str">
        <f ca="1">IF($B6="","",SUMIFS('TIME REPORT'!$N$6:$N$37,'TIME REPORT'!$A$6:$A$37,S$4,'TIME REPORT'!$E$6:$E$37,$B6)+SUMIFS('TIME REPORT'!$P$6:$P$37,'TIME REPORT'!$A$6:$A$37,S$4,'TIME REPORT'!$E$6:$E$37,$B6)/60)</f>
        <v/>
      </c>
      <c r="T6" s="85" t="str">
        <f ca="1">IF($B6="","",SUMIFS('TIME REPORT'!$N$6:$N$37,'TIME REPORT'!$A$6:$A$37,T$4,'TIME REPORT'!$E$6:$E$37,$B6)+SUMIFS('TIME REPORT'!$P$6:$P$37,'TIME REPORT'!$A$6:$A$37,T$4,'TIME REPORT'!$E$6:$E$37,$B6)/60)</f>
        <v/>
      </c>
      <c r="U6" s="85" t="str">
        <f ca="1">IF($B6="","",SUMIFS('TIME REPORT'!$N$6:$N$37,'TIME REPORT'!$A$6:$A$37,U$4,'TIME REPORT'!$E$6:$E$37,$B6)+SUMIFS('TIME REPORT'!$P$6:$P$37,'TIME REPORT'!$A$6:$A$37,U$4,'TIME REPORT'!$E$6:$E$37,$B6)/60)</f>
        <v/>
      </c>
      <c r="V6" s="85" t="str">
        <f ca="1">IF($B6="","",SUMIFS('TIME REPORT'!$N$6:$N$37,'TIME REPORT'!$A$6:$A$37,V$4,'TIME REPORT'!$E$6:$E$37,$B6)+SUMIFS('TIME REPORT'!$P$6:$P$37,'TIME REPORT'!$A$6:$A$37,V$4,'TIME REPORT'!$E$6:$E$37,$B6)/60)</f>
        <v/>
      </c>
      <c r="W6" s="85" t="str">
        <f ca="1">IF($B6="","",SUMIFS('TIME REPORT'!$N$6:$N$37,'TIME REPORT'!$A$6:$A$37,W$4,'TIME REPORT'!$E$6:$E$37,$B6)+SUMIFS('TIME REPORT'!$P$6:$P$37,'TIME REPORT'!$A$6:$A$37,W$4,'TIME REPORT'!$E$6:$E$37,$B6)/60)</f>
        <v/>
      </c>
      <c r="X6" s="85" t="str">
        <f ca="1">IF($B6="","",SUMIFS('TIME REPORT'!$N$6:$N$37,'TIME REPORT'!$A$6:$A$37,X$4,'TIME REPORT'!$E$6:$E$37,$B6)+SUMIFS('TIME REPORT'!$P$6:$P$37,'TIME REPORT'!$A$6:$A$37,X$4,'TIME REPORT'!$E$6:$E$37,$B6)/60)</f>
        <v/>
      </c>
      <c r="Y6" s="85" t="str">
        <f ca="1">IF($B6="","",SUMIFS('TIME REPORT'!$N$6:$N$37,'TIME REPORT'!$A$6:$A$37,Y$4,'TIME REPORT'!$E$6:$E$37,$B6)+SUMIFS('TIME REPORT'!$P$6:$P$37,'TIME REPORT'!$A$6:$A$37,Y$4,'TIME REPORT'!$E$6:$E$37,$B6)/60)</f>
        <v/>
      </c>
      <c r="Z6" s="85" t="str">
        <f ca="1">IF($B6="","",SUMIFS('TIME REPORT'!$N$6:$N$37,'TIME REPORT'!$A$6:$A$37,Z$4,'TIME REPORT'!$E$6:$E$37,$B6)+SUMIFS('TIME REPORT'!$P$6:$P$37,'TIME REPORT'!$A$6:$A$37,Z$4,'TIME REPORT'!$E$6:$E$37,$B6)/60)</f>
        <v/>
      </c>
      <c r="AA6" s="85" t="str">
        <f ca="1">IF($B6="","",SUMIFS('TIME REPORT'!$N$6:$N$37,'TIME REPORT'!$A$6:$A$37,AA$4,'TIME REPORT'!$E$6:$E$37,$B6)+SUMIFS('TIME REPORT'!$P$6:$P$37,'TIME REPORT'!$A$6:$A$37,AA$4,'TIME REPORT'!$E$6:$E$37,$B6)/60)</f>
        <v/>
      </c>
      <c r="AB6" s="85" t="str">
        <f ca="1">IF($B6="","",SUMIFS('TIME REPORT'!$N$6:$N$37,'TIME REPORT'!$A$6:$A$37,AB$4,'TIME REPORT'!$E$6:$E$37,$B6)+SUMIFS('TIME REPORT'!$P$6:$P$37,'TIME REPORT'!$A$6:$A$37,AB$4,'TIME REPORT'!$E$6:$E$37,$B6)/60)</f>
        <v/>
      </c>
      <c r="AC6" s="85" t="str">
        <f ca="1">IF($B6="","",SUMIFS('TIME REPORT'!$N$6:$N$37,'TIME REPORT'!$A$6:$A$37,AC$4,'TIME REPORT'!$E$6:$E$37,$B6)+SUMIFS('TIME REPORT'!$P$6:$P$37,'TIME REPORT'!$A$6:$A$37,AC$4,'TIME REPORT'!$E$6:$E$37,$B6)/60)</f>
        <v/>
      </c>
      <c r="AD6" s="85" t="str">
        <f ca="1">IF($B6="","",SUMIFS('TIME REPORT'!$N$6:$N$37,'TIME REPORT'!$A$6:$A$37,AD$4,'TIME REPORT'!$E$6:$E$37,$B6)+SUMIFS('TIME REPORT'!$P$6:$P$37,'TIME REPORT'!$A$6:$A$37,AD$4,'TIME REPORT'!$E$6:$E$37,$B6)/60)</f>
        <v/>
      </c>
      <c r="AE6" s="85" t="str">
        <f ca="1">IF($B6="","",SUMIFS('TIME REPORT'!$N$6:$N$37,'TIME REPORT'!$A$6:$A$37,AE$4,'TIME REPORT'!$E$6:$E$37,$B6)+SUMIFS('TIME REPORT'!$P$6:$P$37,'TIME REPORT'!$A$6:$A$37,AE$4,'TIME REPORT'!$E$6:$E$37,$B6)/60)</f>
        <v/>
      </c>
      <c r="AF6" s="85" t="str">
        <f ca="1">IF($B6="","",SUMIFS('TIME REPORT'!$N$6:$N$37,'TIME REPORT'!$A$6:$A$37,AF$4,'TIME REPORT'!$E$6:$E$37,$B6)+SUMIFS('TIME REPORT'!$P$6:$P$37,'TIME REPORT'!$A$6:$A$37,AF$4,'TIME REPORT'!$E$6:$E$37,$B6)/60)</f>
        <v/>
      </c>
      <c r="AG6" s="85" t="str">
        <f ca="1">IF($B6="","",SUMIFS('TIME REPORT'!$N$6:$N$37,'TIME REPORT'!$A$6:$A$37,AG$4,'TIME REPORT'!$E$6:$E$37,$B6)+SUMIFS('TIME REPORT'!$P$6:$P$37,'TIME REPORT'!$A$6:$A$37,AG$4,'TIME REPORT'!$E$6:$E$37,$B6)/60)</f>
        <v/>
      </c>
      <c r="AH6" s="85" t="str">
        <f ca="1">IF($B6="","",SUMIFS('TIME REPORT'!$N$6:$N$37,'TIME REPORT'!$A$6:$A$37,AH$4,'TIME REPORT'!$E$6:$E$37,$B6)+SUMIFS('TIME REPORT'!$P$6:$P$37,'TIME REPORT'!$A$6:$A$37,AH$4,'TIME REPORT'!$E$6:$E$37,$B6)/60)</f>
        <v/>
      </c>
      <c r="AI6" s="85" t="str">
        <f ca="1">IF($B6="","",SUMIFS('TIME REPORT'!$N$6:$N$37,'TIME REPORT'!$A$6:$A$37,AI$4,'TIME REPORT'!$E$6:$E$37,$B6)+SUMIFS('TIME REPORT'!$P$6:$P$37,'TIME REPORT'!$A$6:$A$37,AI$4,'TIME REPORT'!$E$6:$E$37,$B6)/60)</f>
        <v/>
      </c>
      <c r="AJ6" s="85" t="str">
        <f ca="1">IF($B6="","",SUMIFS('TIME REPORT'!$N$6:$N$37,'TIME REPORT'!$A$6:$A$37,AJ$4,'TIME REPORT'!$E$6:$E$37,$B6)+SUMIFS('TIME REPORT'!$P$6:$P$37,'TIME REPORT'!$A$6:$A$37,AJ$4,'TIME REPORT'!$E$6:$E$37,$B6)/60)</f>
        <v/>
      </c>
      <c r="AK6" s="85" t="str">
        <f ca="1">IF($B6="","",SUMIFS('TIME REPORT'!$N$6:$N$37,'TIME REPORT'!$A$6:$A$37,AK$4,'TIME REPORT'!$E$6:$E$37,$B6)+SUMIFS('TIME REPORT'!$P$6:$P$37,'TIME REPORT'!$A$6:$A$37,AK$4,'TIME REPORT'!$E$6:$E$37,$B6)/60)</f>
        <v/>
      </c>
      <c r="AL6" s="86">
        <f t="shared" ref="AL6:AL21" ca="1" si="0">SUM(G6:AK6)</f>
        <v>0</v>
      </c>
      <c r="AM6" s="38"/>
      <c r="AN6" s="38"/>
      <c r="AO6" s="38"/>
      <c r="AP6" s="23"/>
      <c r="AQ6" s="23"/>
      <c r="AR6" s="23"/>
      <c r="AS6"/>
      <c r="AT6"/>
      <c r="AU6"/>
      <c r="AV6"/>
      <c r="AW6"/>
      <c r="AX6"/>
      <c r="AY6"/>
      <c r="AZ6"/>
      <c r="BA6"/>
    </row>
    <row r="7" spans="1:53">
      <c r="A7" s="33">
        <v>2</v>
      </c>
      <c r="B7" s="112" t="str" cm="1">
        <f t="array" aca="1" ref="B7" ca="1">IFERROR(INDEX(_xlfn._xlws.FILTER(ClientCodeList,COUNTIF('TIME REPORT'!$E$6:$E$37,ClientCodeList)&gt;0),ROWS($B$6:B7)),"")</f>
        <v/>
      </c>
      <c r="C7" s="113"/>
      <c r="D7" s="84" t="str" cm="1">
        <f t="array" aca="1" ref="D7" ca="1">IF($B7="","",IFERROR(INDEX('TIME REPORT'!$H$6:$H$37,MATCH(1,('TIME REPORT'!$E$6:$E$37=$B7)*('TIME REPORT'!$H$6:$H$37&lt;&gt;""),0)),""))</f>
        <v/>
      </c>
      <c r="E7" s="113"/>
      <c r="F7" s="114"/>
      <c r="G7" s="85" t="str">
        <f ca="1">IF($B7="","",SUMIFS('TIME REPORT'!$N$6:$N$37,'TIME REPORT'!$A$6:$A$37,G$4,'TIME REPORT'!$E$6:$E$37,$B7)+SUMIFS('TIME REPORT'!$P$6:$P$37,'TIME REPORT'!$A$6:$A$37,G$4,'TIME REPORT'!$E$6:$E$37,$B7)/60)</f>
        <v/>
      </c>
      <c r="H7" s="85" t="str">
        <f ca="1">IF($B7="","",SUMIFS('TIME REPORT'!$N$6:$N$37,'TIME REPORT'!$A$6:$A$37,H$4,'TIME REPORT'!$E$6:$E$37,$B7)+SUMIFS('TIME REPORT'!$P$6:$P$37,'TIME REPORT'!$A$6:$A$37,H$4,'TIME REPORT'!$E$6:$E$37,$B7)/60)</f>
        <v/>
      </c>
      <c r="I7" s="85" t="str">
        <f ca="1">IF($B7="","",SUMIFS('TIME REPORT'!$N$6:$N$37,'TIME REPORT'!$A$6:$A$37,I$4,'TIME REPORT'!$E$6:$E$37,$B7)+SUMIFS('TIME REPORT'!$P$6:$P$37,'TIME REPORT'!$A$6:$A$37,I$4,'TIME REPORT'!$E$6:$E$37,$B7)/60)</f>
        <v/>
      </c>
      <c r="J7" s="85" t="str">
        <f ca="1">IF($B7="","",SUMIFS('TIME REPORT'!$N$6:$N$37,'TIME REPORT'!$A$6:$A$37,J$4,'TIME REPORT'!$E$6:$E$37,$B7)+SUMIFS('TIME REPORT'!$P$6:$P$37,'TIME REPORT'!$A$6:$A$37,J$4,'TIME REPORT'!$E$6:$E$37,$B7)/60)</f>
        <v/>
      </c>
      <c r="K7" s="85" t="str">
        <f ca="1">IF($B7="","",SUMIFS('TIME REPORT'!$N$6:$N$37,'TIME REPORT'!$A$6:$A$37,K$4,'TIME REPORT'!$E$6:$E$37,$B7)+SUMIFS('TIME REPORT'!$P$6:$P$37,'TIME REPORT'!$A$6:$A$37,K$4,'TIME REPORT'!$E$6:$E$37,$B7)/60)</f>
        <v/>
      </c>
      <c r="L7" s="85" t="str">
        <f ca="1">IF($B7="","",SUMIFS('TIME REPORT'!$N$6:$N$37,'TIME REPORT'!$A$6:$A$37,L$4,'TIME REPORT'!$E$6:$E$37,$B7)+SUMIFS('TIME REPORT'!$P$6:$P$37,'TIME REPORT'!$A$6:$A$37,L$4,'TIME REPORT'!$E$6:$E$37,$B7)/60)</f>
        <v/>
      </c>
      <c r="M7" s="85" t="str">
        <f ca="1">IF($B7="","",SUMIFS('TIME REPORT'!$N$6:$N$37,'TIME REPORT'!$A$6:$A$37,M$4,'TIME REPORT'!$E$6:$E$37,$B7)+SUMIFS('TIME REPORT'!$P$6:$P$37,'TIME REPORT'!$A$6:$A$37,M$4,'TIME REPORT'!$E$6:$E$37,$B7)/60)</f>
        <v/>
      </c>
      <c r="N7" s="85" t="str">
        <f ca="1">IF($B7="","",SUMIFS('TIME REPORT'!$N$6:$N$37,'TIME REPORT'!$A$6:$A$37,N$4,'TIME REPORT'!$E$6:$E$37,$B7)+SUMIFS('TIME REPORT'!$P$6:$P$37,'TIME REPORT'!$A$6:$A$37,N$4,'TIME REPORT'!$E$6:$E$37,$B7)/60)</f>
        <v/>
      </c>
      <c r="O7" s="85" t="str">
        <f ca="1">IF($B7="","",SUMIFS('TIME REPORT'!$N$6:$N$37,'TIME REPORT'!$A$6:$A$37,O$4,'TIME REPORT'!$E$6:$E$37,$B7)+SUMIFS('TIME REPORT'!$P$6:$P$37,'TIME REPORT'!$A$6:$A$37,O$4,'TIME REPORT'!$E$6:$E$37,$B7)/60)</f>
        <v/>
      </c>
      <c r="P7" s="85" t="str">
        <f ca="1">IF($B7="","",SUMIFS('TIME REPORT'!$N$6:$N$37,'TIME REPORT'!$A$6:$A$37,P$4,'TIME REPORT'!$E$6:$E$37,$B7)+SUMIFS('TIME REPORT'!$P$6:$P$37,'TIME REPORT'!$A$6:$A$37,P$4,'TIME REPORT'!$E$6:$E$37,$B7)/60)</f>
        <v/>
      </c>
      <c r="Q7" s="85" t="str">
        <f ca="1">IF($B7="","",SUMIFS('TIME REPORT'!$N$6:$N$37,'TIME REPORT'!$A$6:$A$37,Q$4,'TIME REPORT'!$E$6:$E$37,$B7)+SUMIFS('TIME REPORT'!$P$6:$P$37,'TIME REPORT'!$A$6:$A$37,Q$4,'TIME REPORT'!$E$6:$E$37,$B7)/60)</f>
        <v/>
      </c>
      <c r="R7" s="85" t="str">
        <f ca="1">IF($B7="","",SUMIFS('TIME REPORT'!$N$6:$N$37,'TIME REPORT'!$A$6:$A$37,R$4,'TIME REPORT'!$E$6:$E$37,$B7)+SUMIFS('TIME REPORT'!$P$6:$P$37,'TIME REPORT'!$A$6:$A$37,R$4,'TIME REPORT'!$E$6:$E$37,$B7)/60)</f>
        <v/>
      </c>
      <c r="S7" s="85" t="str">
        <f ca="1">IF($B7="","",SUMIFS('TIME REPORT'!$N$6:$N$37,'TIME REPORT'!$A$6:$A$37,S$4,'TIME REPORT'!$E$6:$E$37,$B7)+SUMIFS('TIME REPORT'!$P$6:$P$37,'TIME REPORT'!$A$6:$A$37,S$4,'TIME REPORT'!$E$6:$E$37,$B7)/60)</f>
        <v/>
      </c>
      <c r="T7" s="85" t="str">
        <f ca="1">IF($B7="","",SUMIFS('TIME REPORT'!$N$6:$N$37,'TIME REPORT'!$A$6:$A$37,T$4,'TIME REPORT'!$E$6:$E$37,$B7)+SUMIFS('TIME REPORT'!$P$6:$P$37,'TIME REPORT'!$A$6:$A$37,T$4,'TIME REPORT'!$E$6:$E$37,$B7)/60)</f>
        <v/>
      </c>
      <c r="U7" s="85" t="str">
        <f ca="1">IF($B7="","",SUMIFS('TIME REPORT'!$N$6:$N$37,'TIME REPORT'!$A$6:$A$37,U$4,'TIME REPORT'!$E$6:$E$37,$B7)+SUMIFS('TIME REPORT'!$P$6:$P$37,'TIME REPORT'!$A$6:$A$37,U$4,'TIME REPORT'!$E$6:$E$37,$B7)/60)</f>
        <v/>
      </c>
      <c r="V7" s="85" t="str">
        <f ca="1">IF($B7="","",SUMIFS('TIME REPORT'!$N$6:$N$37,'TIME REPORT'!$A$6:$A$37,V$4,'TIME REPORT'!$E$6:$E$37,$B7)+SUMIFS('TIME REPORT'!$P$6:$P$37,'TIME REPORT'!$A$6:$A$37,V$4,'TIME REPORT'!$E$6:$E$37,$B7)/60)</f>
        <v/>
      </c>
      <c r="W7" s="85" t="str">
        <f ca="1">IF($B7="","",SUMIFS('TIME REPORT'!$N$6:$N$37,'TIME REPORT'!$A$6:$A$37,W$4,'TIME REPORT'!$E$6:$E$37,$B7)+SUMIFS('TIME REPORT'!$P$6:$P$37,'TIME REPORT'!$A$6:$A$37,W$4,'TIME REPORT'!$E$6:$E$37,$B7)/60)</f>
        <v/>
      </c>
      <c r="X7" s="85" t="str">
        <f ca="1">IF($B7="","",SUMIFS('TIME REPORT'!$N$6:$N$37,'TIME REPORT'!$A$6:$A$37,X$4,'TIME REPORT'!$E$6:$E$37,$B7)+SUMIFS('TIME REPORT'!$P$6:$P$37,'TIME REPORT'!$A$6:$A$37,X$4,'TIME REPORT'!$E$6:$E$37,$B7)/60)</f>
        <v/>
      </c>
      <c r="Y7" s="85" t="str">
        <f ca="1">IF($B7="","",SUMIFS('TIME REPORT'!$N$6:$N$37,'TIME REPORT'!$A$6:$A$37,Y$4,'TIME REPORT'!$E$6:$E$37,$B7)+SUMIFS('TIME REPORT'!$P$6:$P$37,'TIME REPORT'!$A$6:$A$37,Y$4,'TIME REPORT'!$E$6:$E$37,$B7)/60)</f>
        <v/>
      </c>
      <c r="Z7" s="85" t="str">
        <f ca="1">IF($B7="","",SUMIFS('TIME REPORT'!$N$6:$N$37,'TIME REPORT'!$A$6:$A$37,Z$4,'TIME REPORT'!$E$6:$E$37,$B7)+SUMIFS('TIME REPORT'!$P$6:$P$37,'TIME REPORT'!$A$6:$A$37,Z$4,'TIME REPORT'!$E$6:$E$37,$B7)/60)</f>
        <v/>
      </c>
      <c r="AA7" s="85" t="str">
        <f ca="1">IF($B7="","",SUMIFS('TIME REPORT'!$N$6:$N$37,'TIME REPORT'!$A$6:$A$37,AA$4,'TIME REPORT'!$E$6:$E$37,$B7)+SUMIFS('TIME REPORT'!$P$6:$P$37,'TIME REPORT'!$A$6:$A$37,AA$4,'TIME REPORT'!$E$6:$E$37,$B7)/60)</f>
        <v/>
      </c>
      <c r="AB7" s="85" t="str">
        <f ca="1">IF($B7="","",SUMIFS('TIME REPORT'!$N$6:$N$37,'TIME REPORT'!$A$6:$A$37,AB$4,'TIME REPORT'!$E$6:$E$37,$B7)+SUMIFS('TIME REPORT'!$P$6:$P$37,'TIME REPORT'!$A$6:$A$37,AB$4,'TIME REPORT'!$E$6:$E$37,$B7)/60)</f>
        <v/>
      </c>
      <c r="AC7" s="85" t="str">
        <f ca="1">IF($B7="","",SUMIFS('TIME REPORT'!$N$6:$N$37,'TIME REPORT'!$A$6:$A$37,AC$4,'TIME REPORT'!$E$6:$E$37,$B7)+SUMIFS('TIME REPORT'!$P$6:$P$37,'TIME REPORT'!$A$6:$A$37,AC$4,'TIME REPORT'!$E$6:$E$37,$B7)/60)</f>
        <v/>
      </c>
      <c r="AD7" s="85" t="str">
        <f ca="1">IF($B7="","",SUMIFS('TIME REPORT'!$N$6:$N$37,'TIME REPORT'!$A$6:$A$37,AD$4,'TIME REPORT'!$E$6:$E$37,$B7)+SUMIFS('TIME REPORT'!$P$6:$P$37,'TIME REPORT'!$A$6:$A$37,AD$4,'TIME REPORT'!$E$6:$E$37,$B7)/60)</f>
        <v/>
      </c>
      <c r="AE7" s="85" t="str">
        <f ca="1">IF($B7="","",SUMIFS('TIME REPORT'!$N$6:$N$37,'TIME REPORT'!$A$6:$A$37,AE$4,'TIME REPORT'!$E$6:$E$37,$B7)+SUMIFS('TIME REPORT'!$P$6:$P$37,'TIME REPORT'!$A$6:$A$37,AE$4,'TIME REPORT'!$E$6:$E$37,$B7)/60)</f>
        <v/>
      </c>
      <c r="AF7" s="85" t="str">
        <f ca="1">IF($B7="","",SUMIFS('TIME REPORT'!$N$6:$N$37,'TIME REPORT'!$A$6:$A$37,AF$4,'TIME REPORT'!$E$6:$E$37,$B7)+SUMIFS('TIME REPORT'!$P$6:$P$37,'TIME REPORT'!$A$6:$A$37,AF$4,'TIME REPORT'!$E$6:$E$37,$B7)/60)</f>
        <v/>
      </c>
      <c r="AG7" s="85" t="str">
        <f ca="1">IF($B7="","",SUMIFS('TIME REPORT'!$N$6:$N$37,'TIME REPORT'!$A$6:$A$37,AG$4,'TIME REPORT'!$E$6:$E$37,$B7)+SUMIFS('TIME REPORT'!$P$6:$P$37,'TIME REPORT'!$A$6:$A$37,AG$4,'TIME REPORT'!$E$6:$E$37,$B7)/60)</f>
        <v/>
      </c>
      <c r="AH7" s="87" t="str">
        <f ca="1">IF($B7="","",SUMIFS('TIME REPORT'!$N$6:$N$37,'TIME REPORT'!$A$6:$A$37,AH$4,'TIME REPORT'!$E$6:$E$37,$B7)+SUMIFS('TIME REPORT'!$P$6:$P$37,'TIME REPORT'!$A$6:$A$37,AH$4,'TIME REPORT'!$E$6:$E$37,$B7)/60)</f>
        <v/>
      </c>
      <c r="AI7" s="85" t="str">
        <f ca="1">IF($B7="","",SUMIFS('TIME REPORT'!$N$6:$N$37,'TIME REPORT'!$A$6:$A$37,AI$4,'TIME REPORT'!$E$6:$E$37,$B7)+SUMIFS('TIME REPORT'!$P$6:$P$37,'TIME REPORT'!$A$6:$A$37,AI$4,'TIME REPORT'!$E$6:$E$37,$B7)/60)</f>
        <v/>
      </c>
      <c r="AJ7" s="85" t="str">
        <f ca="1">IF($B7="","",SUMIFS('TIME REPORT'!$N$6:$N$37,'TIME REPORT'!$A$6:$A$37,AJ$4,'TIME REPORT'!$E$6:$E$37,$B7)+SUMIFS('TIME REPORT'!$P$6:$P$37,'TIME REPORT'!$A$6:$A$37,AJ$4,'TIME REPORT'!$E$6:$E$37,$B7)/60)</f>
        <v/>
      </c>
      <c r="AK7" s="85" t="str">
        <f ca="1">IF($B7="","",SUMIFS('TIME REPORT'!$N$6:$N$37,'TIME REPORT'!$A$6:$A$37,AK$4,'TIME REPORT'!$E$6:$E$37,$B7)+SUMIFS('TIME REPORT'!$P$6:$P$37,'TIME REPORT'!$A$6:$A$37,AK$4,'TIME REPORT'!$E$6:$E$37,$B7)/60)</f>
        <v/>
      </c>
      <c r="AL7" s="86">
        <f t="shared" ca="1" si="0"/>
        <v>0</v>
      </c>
      <c r="AM7" s="38"/>
      <c r="AN7" s="38"/>
      <c r="AO7" s="38"/>
      <c r="AP7" s="23"/>
      <c r="AQ7" s="23"/>
      <c r="AR7" s="23"/>
      <c r="AS7"/>
      <c r="AT7"/>
      <c r="AU7"/>
      <c r="AV7"/>
      <c r="AW7"/>
      <c r="AX7"/>
      <c r="AY7"/>
      <c r="AZ7"/>
      <c r="BA7"/>
    </row>
    <row r="8" spans="1:53">
      <c r="A8" s="33">
        <v>3</v>
      </c>
      <c r="B8" s="112" t="str" cm="1">
        <f t="array" aca="1" ref="B8" ca="1">IFERROR(INDEX(_xlfn._xlws.FILTER(ClientCodeList,COUNTIF('TIME REPORT'!$E$6:$E$37,ClientCodeList)&gt;0),ROWS($B$6:B8)),"")</f>
        <v/>
      </c>
      <c r="C8" s="113"/>
      <c r="D8" s="84" t="str" cm="1">
        <f t="array" aca="1" ref="D8" ca="1">IF($B8="","",IFERROR(INDEX('TIME REPORT'!$H$6:$H$37,MATCH(1,('TIME REPORT'!$E$6:$E$37=$B8)*('TIME REPORT'!$H$6:$H$37&lt;&gt;""),0)),""))</f>
        <v/>
      </c>
      <c r="E8" s="113"/>
      <c r="F8" s="114"/>
      <c r="G8" s="85" t="str">
        <f ca="1">IF($B8="","",SUMIFS('TIME REPORT'!$N$6:$N$37,'TIME REPORT'!$A$6:$A$37,G$4,'TIME REPORT'!$E$6:$E$37,$B8)+SUMIFS('TIME REPORT'!$P$6:$P$37,'TIME REPORT'!$A$6:$A$37,G$4,'TIME REPORT'!$E$6:$E$37,$B8)/60)</f>
        <v/>
      </c>
      <c r="H8" s="85" t="str">
        <f ca="1">IF($B8="","",SUMIFS('TIME REPORT'!$N$6:$N$37,'TIME REPORT'!$A$6:$A$37,H$4,'TIME REPORT'!$E$6:$E$37,$B8)+SUMIFS('TIME REPORT'!$P$6:$P$37,'TIME REPORT'!$A$6:$A$37,H$4,'TIME REPORT'!$E$6:$E$37,$B8)/60)</f>
        <v/>
      </c>
      <c r="I8" s="85" t="str">
        <f ca="1">IF($B8="","",SUMIFS('TIME REPORT'!$N$6:$N$37,'TIME REPORT'!$A$6:$A$37,I$4,'TIME REPORT'!$E$6:$E$37,$B8)+SUMIFS('TIME REPORT'!$P$6:$P$37,'TIME REPORT'!$A$6:$A$37,I$4,'TIME REPORT'!$E$6:$E$37,$B8)/60)</f>
        <v/>
      </c>
      <c r="J8" s="85" t="str">
        <f ca="1">IF($B8="","",SUMIFS('TIME REPORT'!$N$6:$N$37,'TIME REPORT'!$A$6:$A$37,J$4,'TIME REPORT'!$E$6:$E$37,$B8)+SUMIFS('TIME REPORT'!$P$6:$P$37,'TIME REPORT'!$A$6:$A$37,J$4,'TIME REPORT'!$E$6:$E$37,$B8)/60)</f>
        <v/>
      </c>
      <c r="K8" s="85" t="str">
        <f ca="1">IF($B8="","",SUMIFS('TIME REPORT'!$N$6:$N$37,'TIME REPORT'!$A$6:$A$37,K$4,'TIME REPORT'!$E$6:$E$37,$B8)+SUMIFS('TIME REPORT'!$P$6:$P$37,'TIME REPORT'!$A$6:$A$37,K$4,'TIME REPORT'!$E$6:$E$37,$B8)/60)</f>
        <v/>
      </c>
      <c r="L8" s="85" t="str">
        <f ca="1">IF($B8="","",SUMIFS('TIME REPORT'!$N$6:$N$37,'TIME REPORT'!$A$6:$A$37,L$4,'TIME REPORT'!$E$6:$E$37,$B8)+SUMIFS('TIME REPORT'!$P$6:$P$37,'TIME REPORT'!$A$6:$A$37,L$4,'TIME REPORT'!$E$6:$E$37,$B8)/60)</f>
        <v/>
      </c>
      <c r="M8" s="85" t="str">
        <f ca="1">IF($B8="","",SUMIFS('TIME REPORT'!$N$6:$N$37,'TIME REPORT'!$A$6:$A$37,M$4,'TIME REPORT'!$E$6:$E$37,$B8)+SUMIFS('TIME REPORT'!$P$6:$P$37,'TIME REPORT'!$A$6:$A$37,M$4,'TIME REPORT'!$E$6:$E$37,$B8)/60)</f>
        <v/>
      </c>
      <c r="N8" s="85" t="str">
        <f ca="1">IF($B8="","",SUMIFS('TIME REPORT'!$N$6:$N$37,'TIME REPORT'!$A$6:$A$37,N$4,'TIME REPORT'!$E$6:$E$37,$B8)+SUMIFS('TIME REPORT'!$P$6:$P$37,'TIME REPORT'!$A$6:$A$37,N$4,'TIME REPORT'!$E$6:$E$37,$B8)/60)</f>
        <v/>
      </c>
      <c r="O8" s="85" t="str">
        <f ca="1">IF($B8="","",SUMIFS('TIME REPORT'!$N$6:$N$37,'TIME REPORT'!$A$6:$A$37,O$4,'TIME REPORT'!$E$6:$E$37,$B8)+SUMIFS('TIME REPORT'!$P$6:$P$37,'TIME REPORT'!$A$6:$A$37,O$4,'TIME REPORT'!$E$6:$E$37,$B8)/60)</f>
        <v/>
      </c>
      <c r="P8" s="85" t="str">
        <f ca="1">IF($B8="","",SUMIFS('TIME REPORT'!$N$6:$N$37,'TIME REPORT'!$A$6:$A$37,P$4,'TIME REPORT'!$E$6:$E$37,$B8)+SUMIFS('TIME REPORT'!$P$6:$P$37,'TIME REPORT'!$A$6:$A$37,P$4,'TIME REPORT'!$E$6:$E$37,$B8)/60)</f>
        <v/>
      </c>
      <c r="Q8" s="85" t="str">
        <f ca="1">IF($B8="","",SUMIFS('TIME REPORT'!$N$6:$N$37,'TIME REPORT'!$A$6:$A$37,Q$4,'TIME REPORT'!$E$6:$E$37,$B8)+SUMIFS('TIME REPORT'!$P$6:$P$37,'TIME REPORT'!$A$6:$A$37,Q$4,'TIME REPORT'!$E$6:$E$37,$B8)/60)</f>
        <v/>
      </c>
      <c r="R8" s="85" t="str">
        <f ca="1">IF($B8="","",SUMIFS('TIME REPORT'!$N$6:$N$37,'TIME REPORT'!$A$6:$A$37,R$4,'TIME REPORT'!$E$6:$E$37,$B8)+SUMIFS('TIME REPORT'!$P$6:$P$37,'TIME REPORT'!$A$6:$A$37,R$4,'TIME REPORT'!$E$6:$E$37,$B8)/60)</f>
        <v/>
      </c>
      <c r="S8" s="85" t="str">
        <f ca="1">IF($B8="","",SUMIFS('TIME REPORT'!$N$6:$N$37,'TIME REPORT'!$A$6:$A$37,S$4,'TIME REPORT'!$E$6:$E$37,$B8)+SUMIFS('TIME REPORT'!$P$6:$P$37,'TIME REPORT'!$A$6:$A$37,S$4,'TIME REPORT'!$E$6:$E$37,$B8)/60)</f>
        <v/>
      </c>
      <c r="T8" s="85" t="str">
        <f ca="1">IF($B8="","",SUMIFS('TIME REPORT'!$N$6:$N$37,'TIME REPORT'!$A$6:$A$37,T$4,'TIME REPORT'!$E$6:$E$37,$B8)+SUMIFS('TIME REPORT'!$P$6:$P$37,'TIME REPORT'!$A$6:$A$37,T$4,'TIME REPORT'!$E$6:$E$37,$B8)/60)</f>
        <v/>
      </c>
      <c r="U8" s="85" t="str">
        <f ca="1">IF($B8="","",SUMIFS('TIME REPORT'!$N$6:$N$37,'TIME REPORT'!$A$6:$A$37,U$4,'TIME REPORT'!$E$6:$E$37,$B8)+SUMIFS('TIME REPORT'!$P$6:$P$37,'TIME REPORT'!$A$6:$A$37,U$4,'TIME REPORT'!$E$6:$E$37,$B8)/60)</f>
        <v/>
      </c>
      <c r="V8" s="85" t="str">
        <f ca="1">IF($B8="","",SUMIFS('TIME REPORT'!$N$6:$N$37,'TIME REPORT'!$A$6:$A$37,V$4,'TIME REPORT'!$E$6:$E$37,$B8)+SUMIFS('TIME REPORT'!$P$6:$P$37,'TIME REPORT'!$A$6:$A$37,V$4,'TIME REPORT'!$E$6:$E$37,$B8)/60)</f>
        <v/>
      </c>
      <c r="W8" s="85" t="str">
        <f ca="1">IF($B8="","",SUMIFS('TIME REPORT'!$N$6:$N$37,'TIME REPORT'!$A$6:$A$37,W$4,'TIME REPORT'!$E$6:$E$37,$B8)+SUMIFS('TIME REPORT'!$P$6:$P$37,'TIME REPORT'!$A$6:$A$37,W$4,'TIME REPORT'!$E$6:$E$37,$B8)/60)</f>
        <v/>
      </c>
      <c r="X8" s="85" t="str">
        <f ca="1">IF($B8="","",SUMIFS('TIME REPORT'!$N$6:$N$37,'TIME REPORT'!$A$6:$A$37,X$4,'TIME REPORT'!$E$6:$E$37,$B8)+SUMIFS('TIME REPORT'!$P$6:$P$37,'TIME REPORT'!$A$6:$A$37,X$4,'TIME REPORT'!$E$6:$E$37,$B8)/60)</f>
        <v/>
      </c>
      <c r="Y8" s="85" t="str">
        <f ca="1">IF($B8="","",SUMIFS('TIME REPORT'!$N$6:$N$37,'TIME REPORT'!$A$6:$A$37,Y$4,'TIME REPORT'!$E$6:$E$37,$B8)+SUMIFS('TIME REPORT'!$P$6:$P$37,'TIME REPORT'!$A$6:$A$37,Y$4,'TIME REPORT'!$E$6:$E$37,$B8)/60)</f>
        <v/>
      </c>
      <c r="Z8" s="85" t="str">
        <f ca="1">IF($B8="","",SUMIFS('TIME REPORT'!$N$6:$N$37,'TIME REPORT'!$A$6:$A$37,Z$4,'TIME REPORT'!$E$6:$E$37,$B8)+SUMIFS('TIME REPORT'!$P$6:$P$37,'TIME REPORT'!$A$6:$A$37,Z$4,'TIME REPORT'!$E$6:$E$37,$B8)/60)</f>
        <v/>
      </c>
      <c r="AA8" s="85" t="str">
        <f ca="1">IF($B8="","",SUMIFS('TIME REPORT'!$N$6:$N$37,'TIME REPORT'!$A$6:$A$37,AA$4,'TIME REPORT'!$E$6:$E$37,$B8)+SUMIFS('TIME REPORT'!$P$6:$P$37,'TIME REPORT'!$A$6:$A$37,AA$4,'TIME REPORT'!$E$6:$E$37,$B8)/60)</f>
        <v/>
      </c>
      <c r="AB8" s="85" t="str">
        <f ca="1">IF($B8="","",SUMIFS('TIME REPORT'!$N$6:$N$37,'TIME REPORT'!$A$6:$A$37,AB$4,'TIME REPORT'!$E$6:$E$37,$B8)+SUMIFS('TIME REPORT'!$P$6:$P$37,'TIME REPORT'!$A$6:$A$37,AB$4,'TIME REPORT'!$E$6:$E$37,$B8)/60)</f>
        <v/>
      </c>
      <c r="AC8" s="85" t="str">
        <f ca="1">IF($B8="","",SUMIFS('TIME REPORT'!$N$6:$N$37,'TIME REPORT'!$A$6:$A$37,AC$4,'TIME REPORT'!$E$6:$E$37,$B8)+SUMIFS('TIME REPORT'!$P$6:$P$37,'TIME REPORT'!$A$6:$A$37,AC$4,'TIME REPORT'!$E$6:$E$37,$B8)/60)</f>
        <v/>
      </c>
      <c r="AD8" s="85" t="str">
        <f ca="1">IF($B8="","",SUMIFS('TIME REPORT'!$N$6:$N$37,'TIME REPORT'!$A$6:$A$37,AD$4,'TIME REPORT'!$E$6:$E$37,$B8)+SUMIFS('TIME REPORT'!$P$6:$P$37,'TIME REPORT'!$A$6:$A$37,AD$4,'TIME REPORT'!$E$6:$E$37,$B8)/60)</f>
        <v/>
      </c>
      <c r="AE8" s="85" t="str">
        <f ca="1">IF($B8="","",SUMIFS('TIME REPORT'!$N$6:$N$37,'TIME REPORT'!$A$6:$A$37,AE$4,'TIME REPORT'!$E$6:$E$37,$B8)+SUMIFS('TIME REPORT'!$P$6:$P$37,'TIME REPORT'!$A$6:$A$37,AE$4,'TIME REPORT'!$E$6:$E$37,$B8)/60)</f>
        <v/>
      </c>
      <c r="AF8" s="85" t="str">
        <f ca="1">IF($B8="","",SUMIFS('TIME REPORT'!$N$6:$N$37,'TIME REPORT'!$A$6:$A$37,AF$4,'TIME REPORT'!$E$6:$E$37,$B8)+SUMIFS('TIME REPORT'!$P$6:$P$37,'TIME REPORT'!$A$6:$A$37,AF$4,'TIME REPORT'!$E$6:$E$37,$B8)/60)</f>
        <v/>
      </c>
      <c r="AG8" s="85" t="str">
        <f ca="1">IF($B8="","",SUMIFS('TIME REPORT'!$N$6:$N$37,'TIME REPORT'!$A$6:$A$37,AG$4,'TIME REPORT'!$E$6:$E$37,$B8)+SUMIFS('TIME REPORT'!$P$6:$P$37,'TIME REPORT'!$A$6:$A$37,AG$4,'TIME REPORT'!$E$6:$E$37,$B8)/60)</f>
        <v/>
      </c>
      <c r="AH8" s="85" t="str">
        <f ca="1">IF($B8="","",SUMIFS('TIME REPORT'!$N$6:$N$37,'TIME REPORT'!$A$6:$A$37,AH$4,'TIME REPORT'!$E$6:$E$37,$B8)+SUMIFS('TIME REPORT'!$P$6:$P$37,'TIME REPORT'!$A$6:$A$37,AH$4,'TIME REPORT'!$E$6:$E$37,$B8)/60)</f>
        <v/>
      </c>
      <c r="AI8" s="85" t="str">
        <f ca="1">IF($B8="","",SUMIFS('TIME REPORT'!$N$6:$N$37,'TIME REPORT'!$A$6:$A$37,AI$4,'TIME REPORT'!$E$6:$E$37,$B8)+SUMIFS('TIME REPORT'!$P$6:$P$37,'TIME REPORT'!$A$6:$A$37,AI$4,'TIME REPORT'!$E$6:$E$37,$B8)/60)</f>
        <v/>
      </c>
      <c r="AJ8" s="85" t="str">
        <f ca="1">IF($B8="","",SUMIFS('TIME REPORT'!$N$6:$N$37,'TIME REPORT'!$A$6:$A$37,AJ$4,'TIME REPORT'!$E$6:$E$37,$B8)+SUMIFS('TIME REPORT'!$P$6:$P$37,'TIME REPORT'!$A$6:$A$37,AJ$4,'TIME REPORT'!$E$6:$E$37,$B8)/60)</f>
        <v/>
      </c>
      <c r="AK8" s="85" t="str">
        <f ca="1">IF($B8="","",SUMIFS('TIME REPORT'!$N$6:$N$37,'TIME REPORT'!$A$6:$A$37,AK$4,'TIME REPORT'!$E$6:$E$37,$B8)+SUMIFS('TIME REPORT'!$P$6:$P$37,'TIME REPORT'!$A$6:$A$37,AK$4,'TIME REPORT'!$E$6:$E$37,$B8)/60)</f>
        <v/>
      </c>
      <c r="AL8" s="86">
        <f t="shared" ca="1" si="0"/>
        <v>0</v>
      </c>
      <c r="AM8" s="38"/>
      <c r="AN8" s="38"/>
      <c r="AO8" s="38"/>
      <c r="AP8" s="23"/>
      <c r="AQ8" s="23"/>
      <c r="AR8" s="23"/>
      <c r="AS8"/>
      <c r="AT8"/>
      <c r="AU8"/>
      <c r="AV8"/>
      <c r="AW8"/>
      <c r="AX8"/>
      <c r="AY8"/>
      <c r="AZ8"/>
      <c r="BA8"/>
    </row>
    <row r="9" spans="1:53">
      <c r="A9" s="33">
        <v>4</v>
      </c>
      <c r="B9" s="112" t="str" cm="1">
        <f t="array" aca="1" ref="B9" ca="1">IFERROR(INDEX(_xlfn._xlws.FILTER(ClientCodeList,COUNTIF('TIME REPORT'!$E$6:$E$37,ClientCodeList)&gt;0),ROWS($B$6:B9)),"")</f>
        <v/>
      </c>
      <c r="C9" s="113"/>
      <c r="D9" s="84" t="str" cm="1">
        <f t="array" aca="1" ref="D9" ca="1">IF($B9="","",IFERROR(INDEX('TIME REPORT'!$H$6:$H$37,MATCH(1,('TIME REPORT'!$E$6:$E$37=$B9)*('TIME REPORT'!$H$6:$H$37&lt;&gt;""),0)),""))</f>
        <v/>
      </c>
      <c r="E9" s="113"/>
      <c r="F9" s="114"/>
      <c r="G9" s="85" t="str">
        <f ca="1">IF($B9="","",SUMIFS('TIME REPORT'!$N$6:$N$37,'TIME REPORT'!$A$6:$A$37,G$4,'TIME REPORT'!$E$6:$E$37,$B9)+SUMIFS('TIME REPORT'!$P$6:$P$37,'TIME REPORT'!$A$6:$A$37,G$4,'TIME REPORT'!$E$6:$E$37,$B9)/60)</f>
        <v/>
      </c>
      <c r="H9" s="85" t="str">
        <f ca="1">IF($B9="","",SUMIFS('TIME REPORT'!$N$6:$N$37,'TIME REPORT'!$A$6:$A$37,H$4,'TIME REPORT'!$E$6:$E$37,$B9)+SUMIFS('TIME REPORT'!$P$6:$P$37,'TIME REPORT'!$A$6:$A$37,H$4,'TIME REPORT'!$E$6:$E$37,$B9)/60)</f>
        <v/>
      </c>
      <c r="I9" s="85" t="str">
        <f ca="1">IF($B9="","",SUMIFS('TIME REPORT'!$N$6:$N$37,'TIME REPORT'!$A$6:$A$37,I$4,'TIME REPORT'!$E$6:$E$37,$B9)+SUMIFS('TIME REPORT'!$P$6:$P$37,'TIME REPORT'!$A$6:$A$37,I$4,'TIME REPORT'!$E$6:$E$37,$B9)/60)</f>
        <v/>
      </c>
      <c r="J9" s="85" t="str">
        <f ca="1">IF($B9="","",SUMIFS('TIME REPORT'!$N$6:$N$37,'TIME REPORT'!$A$6:$A$37,J$4,'TIME REPORT'!$E$6:$E$37,$B9)+SUMIFS('TIME REPORT'!$P$6:$P$37,'TIME REPORT'!$A$6:$A$37,J$4,'TIME REPORT'!$E$6:$E$37,$B9)/60)</f>
        <v/>
      </c>
      <c r="K9" s="85" t="str">
        <f ca="1">IF($B9="","",SUMIFS('TIME REPORT'!$N$6:$N$37,'TIME REPORT'!$A$6:$A$37,K$4,'TIME REPORT'!$E$6:$E$37,$B9)+SUMIFS('TIME REPORT'!$P$6:$P$37,'TIME REPORT'!$A$6:$A$37,K$4,'TIME REPORT'!$E$6:$E$37,$B9)/60)</f>
        <v/>
      </c>
      <c r="L9" s="85" t="str">
        <f ca="1">IF($B9="","",SUMIFS('TIME REPORT'!$N$6:$N$37,'TIME REPORT'!$A$6:$A$37,L$4,'TIME REPORT'!$E$6:$E$37,$B9)+SUMIFS('TIME REPORT'!$P$6:$P$37,'TIME REPORT'!$A$6:$A$37,L$4,'TIME REPORT'!$E$6:$E$37,$B9)/60)</f>
        <v/>
      </c>
      <c r="M9" s="85" t="str">
        <f ca="1">IF($B9="","",SUMIFS('TIME REPORT'!$N$6:$N$37,'TIME REPORT'!$A$6:$A$37,M$4,'TIME REPORT'!$E$6:$E$37,$B9)+SUMIFS('TIME REPORT'!$P$6:$P$37,'TIME REPORT'!$A$6:$A$37,M$4,'TIME REPORT'!$E$6:$E$37,$B9)/60)</f>
        <v/>
      </c>
      <c r="N9" s="85" t="str">
        <f ca="1">IF($B9="","",SUMIFS('TIME REPORT'!$N$6:$N$37,'TIME REPORT'!$A$6:$A$37,N$4,'TIME REPORT'!$E$6:$E$37,$B9)+SUMIFS('TIME REPORT'!$P$6:$P$37,'TIME REPORT'!$A$6:$A$37,N$4,'TIME REPORT'!$E$6:$E$37,$B9)/60)</f>
        <v/>
      </c>
      <c r="O9" s="85" t="str">
        <f ca="1">IF($B9="","",SUMIFS('TIME REPORT'!$N$6:$N$37,'TIME REPORT'!$A$6:$A$37,O$4,'TIME REPORT'!$E$6:$E$37,$B9)+SUMIFS('TIME REPORT'!$P$6:$P$37,'TIME REPORT'!$A$6:$A$37,O$4,'TIME REPORT'!$E$6:$E$37,$B9)/60)</f>
        <v/>
      </c>
      <c r="P9" s="85" t="str">
        <f ca="1">IF($B9="","",SUMIFS('TIME REPORT'!$N$6:$N$37,'TIME REPORT'!$A$6:$A$37,P$4,'TIME REPORT'!$E$6:$E$37,$B9)+SUMIFS('TIME REPORT'!$P$6:$P$37,'TIME REPORT'!$A$6:$A$37,P$4,'TIME REPORT'!$E$6:$E$37,$B9)/60)</f>
        <v/>
      </c>
      <c r="Q9" s="85" t="str">
        <f ca="1">IF($B9="","",SUMIFS('TIME REPORT'!$N$6:$N$37,'TIME REPORT'!$A$6:$A$37,Q$4,'TIME REPORT'!$E$6:$E$37,$B9)+SUMIFS('TIME REPORT'!$P$6:$P$37,'TIME REPORT'!$A$6:$A$37,Q$4,'TIME REPORT'!$E$6:$E$37,$B9)/60)</f>
        <v/>
      </c>
      <c r="R9" s="85" t="str">
        <f ca="1">IF($B9="","",SUMIFS('TIME REPORT'!$N$6:$N$37,'TIME REPORT'!$A$6:$A$37,R$4,'TIME REPORT'!$E$6:$E$37,$B9)+SUMIFS('TIME REPORT'!$P$6:$P$37,'TIME REPORT'!$A$6:$A$37,R$4,'TIME REPORT'!$E$6:$E$37,$B9)/60)</f>
        <v/>
      </c>
      <c r="S9" s="85" t="str">
        <f ca="1">IF($B9="","",SUMIFS('TIME REPORT'!$N$6:$N$37,'TIME REPORT'!$A$6:$A$37,S$4,'TIME REPORT'!$E$6:$E$37,$B9)+SUMIFS('TIME REPORT'!$P$6:$P$37,'TIME REPORT'!$A$6:$A$37,S$4,'TIME REPORT'!$E$6:$E$37,$B9)/60)</f>
        <v/>
      </c>
      <c r="T9" s="85" t="str">
        <f ca="1">IF($B9="","",SUMIFS('TIME REPORT'!$N$6:$N$37,'TIME REPORT'!$A$6:$A$37,T$4,'TIME REPORT'!$E$6:$E$37,$B9)+SUMIFS('TIME REPORT'!$P$6:$P$37,'TIME REPORT'!$A$6:$A$37,T$4,'TIME REPORT'!$E$6:$E$37,$B9)/60)</f>
        <v/>
      </c>
      <c r="U9" s="85" t="str">
        <f ca="1">IF($B9="","",SUMIFS('TIME REPORT'!$N$6:$N$37,'TIME REPORT'!$A$6:$A$37,U$4,'TIME REPORT'!$E$6:$E$37,$B9)+SUMIFS('TIME REPORT'!$P$6:$P$37,'TIME REPORT'!$A$6:$A$37,U$4,'TIME REPORT'!$E$6:$E$37,$B9)/60)</f>
        <v/>
      </c>
      <c r="V9" s="85" t="str">
        <f ca="1">IF($B9="","",SUMIFS('TIME REPORT'!$N$6:$N$37,'TIME REPORT'!$A$6:$A$37,V$4,'TIME REPORT'!$E$6:$E$37,$B9)+SUMIFS('TIME REPORT'!$P$6:$P$37,'TIME REPORT'!$A$6:$A$37,V$4,'TIME REPORT'!$E$6:$E$37,$B9)/60)</f>
        <v/>
      </c>
      <c r="W9" s="85" t="str">
        <f ca="1">IF($B9="","",SUMIFS('TIME REPORT'!$N$6:$N$37,'TIME REPORT'!$A$6:$A$37,W$4,'TIME REPORT'!$E$6:$E$37,$B9)+SUMIFS('TIME REPORT'!$P$6:$P$37,'TIME REPORT'!$A$6:$A$37,W$4,'TIME REPORT'!$E$6:$E$37,$B9)/60)</f>
        <v/>
      </c>
      <c r="X9" s="85" t="str">
        <f ca="1">IF($B9="","",SUMIFS('TIME REPORT'!$N$6:$N$37,'TIME REPORT'!$A$6:$A$37,X$4,'TIME REPORT'!$E$6:$E$37,$B9)+SUMIFS('TIME REPORT'!$P$6:$P$37,'TIME REPORT'!$A$6:$A$37,X$4,'TIME REPORT'!$E$6:$E$37,$B9)/60)</f>
        <v/>
      </c>
      <c r="Y9" s="85" t="str">
        <f ca="1">IF($B9="","",SUMIFS('TIME REPORT'!$N$6:$N$37,'TIME REPORT'!$A$6:$A$37,Y$4,'TIME REPORT'!$E$6:$E$37,$B9)+SUMIFS('TIME REPORT'!$P$6:$P$37,'TIME REPORT'!$A$6:$A$37,Y$4,'TIME REPORT'!$E$6:$E$37,$B9)/60)</f>
        <v/>
      </c>
      <c r="Z9" s="85" t="str">
        <f ca="1">IF($B9="","",SUMIFS('TIME REPORT'!$N$6:$N$37,'TIME REPORT'!$A$6:$A$37,Z$4,'TIME REPORT'!$E$6:$E$37,$B9)+SUMIFS('TIME REPORT'!$P$6:$P$37,'TIME REPORT'!$A$6:$A$37,Z$4,'TIME REPORT'!$E$6:$E$37,$B9)/60)</f>
        <v/>
      </c>
      <c r="AA9" s="85" t="str">
        <f ca="1">IF($B9="","",SUMIFS('TIME REPORT'!$N$6:$N$37,'TIME REPORT'!$A$6:$A$37,AA$4,'TIME REPORT'!$E$6:$E$37,$B9)+SUMIFS('TIME REPORT'!$P$6:$P$37,'TIME REPORT'!$A$6:$A$37,AA$4,'TIME REPORT'!$E$6:$E$37,$B9)/60)</f>
        <v/>
      </c>
      <c r="AB9" s="85" t="str">
        <f ca="1">IF($B9="","",SUMIFS('TIME REPORT'!$N$6:$N$37,'TIME REPORT'!$A$6:$A$37,AB$4,'TIME REPORT'!$E$6:$E$37,$B9)+SUMIFS('TIME REPORT'!$P$6:$P$37,'TIME REPORT'!$A$6:$A$37,AB$4,'TIME REPORT'!$E$6:$E$37,$B9)/60)</f>
        <v/>
      </c>
      <c r="AC9" s="85" t="str">
        <f ca="1">IF($B9="","",SUMIFS('TIME REPORT'!$N$6:$N$37,'TIME REPORT'!$A$6:$A$37,AC$4,'TIME REPORT'!$E$6:$E$37,$B9)+SUMIFS('TIME REPORT'!$P$6:$P$37,'TIME REPORT'!$A$6:$A$37,AC$4,'TIME REPORT'!$E$6:$E$37,$B9)/60)</f>
        <v/>
      </c>
      <c r="AD9" s="85" t="str">
        <f ca="1">IF($B9="","",SUMIFS('TIME REPORT'!$N$6:$N$37,'TIME REPORT'!$A$6:$A$37,AD$4,'TIME REPORT'!$E$6:$E$37,$B9)+SUMIFS('TIME REPORT'!$P$6:$P$37,'TIME REPORT'!$A$6:$A$37,AD$4,'TIME REPORT'!$E$6:$E$37,$B9)/60)</f>
        <v/>
      </c>
      <c r="AE9" s="85" t="str">
        <f ca="1">IF($B9="","",SUMIFS('TIME REPORT'!$N$6:$N$37,'TIME REPORT'!$A$6:$A$37,AE$4,'TIME REPORT'!$E$6:$E$37,$B9)+SUMIFS('TIME REPORT'!$P$6:$P$37,'TIME REPORT'!$A$6:$A$37,AE$4,'TIME REPORT'!$E$6:$E$37,$B9)/60)</f>
        <v/>
      </c>
      <c r="AF9" s="85" t="str">
        <f ca="1">IF($B9="","",SUMIFS('TIME REPORT'!$N$6:$N$37,'TIME REPORT'!$A$6:$A$37,AF$4,'TIME REPORT'!$E$6:$E$37,$B9)+SUMIFS('TIME REPORT'!$P$6:$P$37,'TIME REPORT'!$A$6:$A$37,AF$4,'TIME REPORT'!$E$6:$E$37,$B9)/60)</f>
        <v/>
      </c>
      <c r="AG9" s="85" t="str">
        <f ca="1">IF($B9="","",SUMIFS('TIME REPORT'!$N$6:$N$37,'TIME REPORT'!$A$6:$A$37,AG$4,'TIME REPORT'!$E$6:$E$37,$B9)+SUMIFS('TIME REPORT'!$P$6:$P$37,'TIME REPORT'!$A$6:$A$37,AG$4,'TIME REPORT'!$E$6:$E$37,$B9)/60)</f>
        <v/>
      </c>
      <c r="AH9" s="85" t="str">
        <f ca="1">IF($B9="","",SUMIFS('TIME REPORT'!$N$6:$N$37,'TIME REPORT'!$A$6:$A$37,AH$4,'TIME REPORT'!$E$6:$E$37,$B9)+SUMIFS('TIME REPORT'!$P$6:$P$37,'TIME REPORT'!$A$6:$A$37,AH$4,'TIME REPORT'!$E$6:$E$37,$B9)/60)</f>
        <v/>
      </c>
      <c r="AI9" s="85" t="str">
        <f ca="1">IF($B9="","",SUMIFS('TIME REPORT'!$N$6:$N$37,'TIME REPORT'!$A$6:$A$37,AI$4,'TIME REPORT'!$E$6:$E$37,$B9)+SUMIFS('TIME REPORT'!$P$6:$P$37,'TIME REPORT'!$A$6:$A$37,AI$4,'TIME REPORT'!$E$6:$E$37,$B9)/60)</f>
        <v/>
      </c>
      <c r="AJ9" s="85" t="str">
        <f ca="1">IF($B9="","",SUMIFS('TIME REPORT'!$N$6:$N$37,'TIME REPORT'!$A$6:$A$37,AJ$4,'TIME REPORT'!$E$6:$E$37,$B9)+SUMIFS('TIME REPORT'!$P$6:$P$37,'TIME REPORT'!$A$6:$A$37,AJ$4,'TIME REPORT'!$E$6:$E$37,$B9)/60)</f>
        <v/>
      </c>
      <c r="AK9" s="85" t="str">
        <f ca="1">IF($B9="","",SUMIFS('TIME REPORT'!$N$6:$N$37,'TIME REPORT'!$A$6:$A$37,AK$4,'TIME REPORT'!$E$6:$E$37,$B9)+SUMIFS('TIME REPORT'!$P$6:$P$37,'TIME REPORT'!$A$6:$A$37,AK$4,'TIME REPORT'!$E$6:$E$37,$B9)/60)</f>
        <v/>
      </c>
      <c r="AL9" s="86">
        <f t="shared" ca="1" si="0"/>
        <v>0</v>
      </c>
      <c r="AM9" s="38"/>
      <c r="AN9" s="38"/>
      <c r="AO9" s="38"/>
      <c r="AP9" s="23"/>
      <c r="AQ9" s="23"/>
      <c r="AR9" s="23"/>
      <c r="AS9"/>
      <c r="AT9"/>
      <c r="AU9"/>
      <c r="AV9"/>
      <c r="AW9"/>
      <c r="AX9"/>
      <c r="AY9"/>
      <c r="AZ9"/>
      <c r="BA9"/>
    </row>
    <row r="10" spans="1:53">
      <c r="A10" s="33">
        <v>5</v>
      </c>
      <c r="B10" s="83" t="str" cm="1">
        <f t="array" aca="1" ref="B10" ca="1">IFERROR(INDEX(_xlfn._xlws.FILTER(ClientCodeList,COUNTIF('TIME REPORT'!$E$6:$E$37,ClientCodeList)&gt;0),ROWS($B$6:B10)),"")</f>
        <v/>
      </c>
      <c r="C10" s="34"/>
      <c r="D10" s="84" t="str" cm="1">
        <f t="array" aca="1" ref="D10" ca="1">IF($B10="","",IFERROR(INDEX('TIME REPORT'!$H$6:$H$37,MATCH(1,('TIME REPORT'!$E$6:$E$37=$B10)*('TIME REPORT'!$H$6:$H$37&lt;&gt;""),0)),""))</f>
        <v/>
      </c>
      <c r="E10" s="113"/>
      <c r="F10" s="114"/>
      <c r="G10" s="85" t="str">
        <f ca="1">IF($B10="","",SUMIFS('TIME REPORT'!$N$6:$N$37,'TIME REPORT'!$A$6:$A$37,G$4,'TIME REPORT'!$E$6:$E$37,$B10)+SUMIFS('TIME REPORT'!$P$6:$P$37,'TIME REPORT'!$A$6:$A$37,G$4,'TIME REPORT'!$E$6:$E$37,$B10)/60)</f>
        <v/>
      </c>
      <c r="H10" s="85" t="str">
        <f ca="1">IF($B10="","",SUMIFS('TIME REPORT'!$N$6:$N$37,'TIME REPORT'!$A$6:$A$37,H$4,'TIME REPORT'!$E$6:$E$37,$B10)+SUMIFS('TIME REPORT'!$P$6:$P$37,'TIME REPORT'!$A$6:$A$37,H$4,'TIME REPORT'!$E$6:$E$37,$B10)/60)</f>
        <v/>
      </c>
      <c r="I10" s="85" t="str">
        <f ca="1">IF($B10="","",SUMIFS('TIME REPORT'!$N$6:$N$37,'TIME REPORT'!$A$6:$A$37,I$4,'TIME REPORT'!$E$6:$E$37,$B10)+SUMIFS('TIME REPORT'!$P$6:$P$37,'TIME REPORT'!$A$6:$A$37,I$4,'TIME REPORT'!$E$6:$E$37,$B10)/60)</f>
        <v/>
      </c>
      <c r="J10" s="85" t="str">
        <f ca="1">IF($B10="","",SUMIFS('TIME REPORT'!$N$6:$N$37,'TIME REPORT'!$A$6:$A$37,J$4,'TIME REPORT'!$E$6:$E$37,$B10)+SUMIFS('TIME REPORT'!$P$6:$P$37,'TIME REPORT'!$A$6:$A$37,J$4,'TIME REPORT'!$E$6:$E$37,$B10)/60)</f>
        <v/>
      </c>
      <c r="K10" s="85" t="str">
        <f ca="1">IF($B10="","",SUMIFS('TIME REPORT'!$N$6:$N$37,'TIME REPORT'!$A$6:$A$37,K$4,'TIME REPORT'!$E$6:$E$37,$B10)+SUMIFS('TIME REPORT'!$P$6:$P$37,'TIME REPORT'!$A$6:$A$37,K$4,'TIME REPORT'!$E$6:$E$37,$B10)/60)</f>
        <v/>
      </c>
      <c r="L10" s="85" t="str">
        <f ca="1">IF($B10="","",SUMIFS('TIME REPORT'!$N$6:$N$37,'TIME REPORT'!$A$6:$A$37,L$4,'TIME REPORT'!$E$6:$E$37,$B10)+SUMIFS('TIME REPORT'!$P$6:$P$37,'TIME REPORT'!$A$6:$A$37,L$4,'TIME REPORT'!$E$6:$E$37,$B10)/60)</f>
        <v/>
      </c>
      <c r="M10" s="85" t="str">
        <f ca="1">IF($B10="","",SUMIFS('TIME REPORT'!$N$6:$N$37,'TIME REPORT'!$A$6:$A$37,M$4,'TIME REPORT'!$E$6:$E$37,$B10)+SUMIFS('TIME REPORT'!$P$6:$P$37,'TIME REPORT'!$A$6:$A$37,M$4,'TIME REPORT'!$E$6:$E$37,$B10)/60)</f>
        <v/>
      </c>
      <c r="N10" s="85" t="str">
        <f ca="1">IF($B10="","",SUMIFS('TIME REPORT'!$N$6:$N$37,'TIME REPORT'!$A$6:$A$37,N$4,'TIME REPORT'!$E$6:$E$37,$B10)+SUMIFS('TIME REPORT'!$P$6:$P$37,'TIME REPORT'!$A$6:$A$37,N$4,'TIME REPORT'!$E$6:$E$37,$B10)/60)</f>
        <v/>
      </c>
      <c r="O10" s="85" t="str">
        <f ca="1">IF($B10="","",SUMIFS('TIME REPORT'!$N$6:$N$37,'TIME REPORT'!$A$6:$A$37,O$4,'TIME REPORT'!$E$6:$E$37,$B10)+SUMIFS('TIME REPORT'!$P$6:$P$37,'TIME REPORT'!$A$6:$A$37,O$4,'TIME REPORT'!$E$6:$E$37,$B10)/60)</f>
        <v/>
      </c>
      <c r="P10" s="85" t="str">
        <f ca="1">IF($B10="","",SUMIFS('TIME REPORT'!$N$6:$N$37,'TIME REPORT'!$A$6:$A$37,P$4,'TIME REPORT'!$E$6:$E$37,$B10)+SUMIFS('TIME REPORT'!$P$6:$P$37,'TIME REPORT'!$A$6:$A$37,P$4,'TIME REPORT'!$E$6:$E$37,$B10)/60)</f>
        <v/>
      </c>
      <c r="Q10" s="85" t="str">
        <f ca="1">IF($B10="","",SUMIFS('TIME REPORT'!$N$6:$N$37,'TIME REPORT'!$A$6:$A$37,Q$4,'TIME REPORT'!$E$6:$E$37,$B10)+SUMIFS('TIME REPORT'!$P$6:$P$37,'TIME REPORT'!$A$6:$A$37,Q$4,'TIME REPORT'!$E$6:$E$37,$B10)/60)</f>
        <v/>
      </c>
      <c r="R10" s="85" t="str">
        <f ca="1">IF($B10="","",SUMIFS('TIME REPORT'!$N$6:$N$37,'TIME REPORT'!$A$6:$A$37,R$4,'TIME REPORT'!$E$6:$E$37,$B10)+SUMIFS('TIME REPORT'!$P$6:$P$37,'TIME REPORT'!$A$6:$A$37,R$4,'TIME REPORT'!$E$6:$E$37,$B10)/60)</f>
        <v/>
      </c>
      <c r="S10" s="85" t="str">
        <f ca="1">IF($B10="","",SUMIFS('TIME REPORT'!$N$6:$N$37,'TIME REPORT'!$A$6:$A$37,S$4,'TIME REPORT'!$E$6:$E$37,$B10)+SUMIFS('TIME REPORT'!$P$6:$P$37,'TIME REPORT'!$A$6:$A$37,S$4,'TIME REPORT'!$E$6:$E$37,$B10)/60)</f>
        <v/>
      </c>
      <c r="T10" s="85" t="str">
        <f ca="1">IF($B10="","",SUMIFS('TIME REPORT'!$N$6:$N$37,'TIME REPORT'!$A$6:$A$37,T$4,'TIME REPORT'!$E$6:$E$37,$B10)+SUMIFS('TIME REPORT'!$P$6:$P$37,'TIME REPORT'!$A$6:$A$37,T$4,'TIME REPORT'!$E$6:$E$37,$B10)/60)</f>
        <v/>
      </c>
      <c r="U10" s="85" t="str">
        <f ca="1">IF($B10="","",SUMIFS('TIME REPORT'!$N$6:$N$37,'TIME REPORT'!$A$6:$A$37,U$4,'TIME REPORT'!$E$6:$E$37,$B10)+SUMIFS('TIME REPORT'!$P$6:$P$37,'TIME REPORT'!$A$6:$A$37,U$4,'TIME REPORT'!$E$6:$E$37,$B10)/60)</f>
        <v/>
      </c>
      <c r="V10" s="85" t="str">
        <f ca="1">IF($B10="","",SUMIFS('TIME REPORT'!$N$6:$N$37,'TIME REPORT'!$A$6:$A$37,V$4,'TIME REPORT'!$E$6:$E$37,$B10)+SUMIFS('TIME REPORT'!$P$6:$P$37,'TIME REPORT'!$A$6:$A$37,V$4,'TIME REPORT'!$E$6:$E$37,$B10)/60)</f>
        <v/>
      </c>
      <c r="W10" s="85" t="str">
        <f ca="1">IF($B10="","",SUMIFS('TIME REPORT'!$N$6:$N$37,'TIME REPORT'!$A$6:$A$37,W$4,'TIME REPORT'!$E$6:$E$37,$B10)+SUMIFS('TIME REPORT'!$P$6:$P$37,'TIME REPORT'!$A$6:$A$37,W$4,'TIME REPORT'!$E$6:$E$37,$B10)/60)</f>
        <v/>
      </c>
      <c r="X10" s="85" t="str">
        <f ca="1">IF($B10="","",SUMIFS('TIME REPORT'!$N$6:$N$37,'TIME REPORT'!$A$6:$A$37,X$4,'TIME REPORT'!$E$6:$E$37,$B10)+SUMIFS('TIME REPORT'!$P$6:$P$37,'TIME REPORT'!$A$6:$A$37,X$4,'TIME REPORT'!$E$6:$E$37,$B10)/60)</f>
        <v/>
      </c>
      <c r="Y10" s="85" t="str">
        <f ca="1">IF($B10="","",SUMIFS('TIME REPORT'!$N$6:$N$37,'TIME REPORT'!$A$6:$A$37,Y$4,'TIME REPORT'!$E$6:$E$37,$B10)+SUMIFS('TIME REPORT'!$P$6:$P$37,'TIME REPORT'!$A$6:$A$37,Y$4,'TIME REPORT'!$E$6:$E$37,$B10)/60)</f>
        <v/>
      </c>
      <c r="Z10" s="85" t="str">
        <f ca="1">IF($B10="","",SUMIFS('TIME REPORT'!$N$6:$N$37,'TIME REPORT'!$A$6:$A$37,Z$4,'TIME REPORT'!$E$6:$E$37,$B10)+SUMIFS('TIME REPORT'!$P$6:$P$37,'TIME REPORT'!$A$6:$A$37,Z$4,'TIME REPORT'!$E$6:$E$37,$B10)/60)</f>
        <v/>
      </c>
      <c r="AA10" s="85" t="str">
        <f ca="1">IF($B10="","",SUMIFS('TIME REPORT'!$N$6:$N$37,'TIME REPORT'!$A$6:$A$37,AA$4,'TIME REPORT'!$E$6:$E$37,$B10)+SUMIFS('TIME REPORT'!$P$6:$P$37,'TIME REPORT'!$A$6:$A$37,AA$4,'TIME REPORT'!$E$6:$E$37,$B10)/60)</f>
        <v/>
      </c>
      <c r="AB10" s="85" t="str">
        <f ca="1">IF($B10="","",SUMIFS('TIME REPORT'!$N$6:$N$37,'TIME REPORT'!$A$6:$A$37,AB$4,'TIME REPORT'!$E$6:$E$37,$B10)+SUMIFS('TIME REPORT'!$P$6:$P$37,'TIME REPORT'!$A$6:$A$37,AB$4,'TIME REPORT'!$E$6:$E$37,$B10)/60)</f>
        <v/>
      </c>
      <c r="AC10" s="85" t="str">
        <f ca="1">IF($B10="","",SUMIFS('TIME REPORT'!$N$6:$N$37,'TIME REPORT'!$A$6:$A$37,AC$4,'TIME REPORT'!$E$6:$E$37,$B10)+SUMIFS('TIME REPORT'!$P$6:$P$37,'TIME REPORT'!$A$6:$A$37,AC$4,'TIME REPORT'!$E$6:$E$37,$B10)/60)</f>
        <v/>
      </c>
      <c r="AD10" s="85" t="str">
        <f ca="1">IF($B10="","",SUMIFS('TIME REPORT'!$N$6:$N$37,'TIME REPORT'!$A$6:$A$37,AD$4,'TIME REPORT'!$E$6:$E$37,$B10)+SUMIFS('TIME REPORT'!$P$6:$P$37,'TIME REPORT'!$A$6:$A$37,AD$4,'TIME REPORT'!$E$6:$E$37,$B10)/60)</f>
        <v/>
      </c>
      <c r="AE10" s="85" t="str">
        <f ca="1">IF($B10="","",SUMIFS('TIME REPORT'!$N$6:$N$37,'TIME REPORT'!$A$6:$A$37,AE$4,'TIME REPORT'!$E$6:$E$37,$B10)+SUMIFS('TIME REPORT'!$P$6:$P$37,'TIME REPORT'!$A$6:$A$37,AE$4,'TIME REPORT'!$E$6:$E$37,$B10)/60)</f>
        <v/>
      </c>
      <c r="AF10" s="85" t="str">
        <f ca="1">IF($B10="","",SUMIFS('TIME REPORT'!$N$6:$N$37,'TIME REPORT'!$A$6:$A$37,AF$4,'TIME REPORT'!$E$6:$E$37,$B10)+SUMIFS('TIME REPORT'!$P$6:$P$37,'TIME REPORT'!$A$6:$A$37,AF$4,'TIME REPORT'!$E$6:$E$37,$B10)/60)</f>
        <v/>
      </c>
      <c r="AG10" s="85" t="str">
        <f ca="1">IF($B10="","",SUMIFS('TIME REPORT'!$N$6:$N$37,'TIME REPORT'!$A$6:$A$37,AG$4,'TIME REPORT'!$E$6:$E$37,$B10)+SUMIFS('TIME REPORT'!$P$6:$P$37,'TIME REPORT'!$A$6:$A$37,AG$4,'TIME REPORT'!$E$6:$E$37,$B10)/60)</f>
        <v/>
      </c>
      <c r="AH10" s="85" t="str">
        <f ca="1">IF($B10="","",SUMIFS('TIME REPORT'!$N$6:$N$37,'TIME REPORT'!$A$6:$A$37,AH$4,'TIME REPORT'!$E$6:$E$37,$B10)+SUMIFS('TIME REPORT'!$P$6:$P$37,'TIME REPORT'!$A$6:$A$37,AH$4,'TIME REPORT'!$E$6:$E$37,$B10)/60)</f>
        <v/>
      </c>
      <c r="AI10" s="85" t="str">
        <f ca="1">IF($B10="","",SUMIFS('TIME REPORT'!$N$6:$N$37,'TIME REPORT'!$A$6:$A$37,AI$4,'TIME REPORT'!$E$6:$E$37,$B10)+SUMIFS('TIME REPORT'!$P$6:$P$37,'TIME REPORT'!$A$6:$A$37,AI$4,'TIME REPORT'!$E$6:$E$37,$B10)/60)</f>
        <v/>
      </c>
      <c r="AJ10" s="85" t="str">
        <f ca="1">IF($B10="","",SUMIFS('TIME REPORT'!$N$6:$N$37,'TIME REPORT'!$A$6:$A$37,AJ$4,'TIME REPORT'!$E$6:$E$37,$B10)+SUMIFS('TIME REPORT'!$P$6:$P$37,'TIME REPORT'!$A$6:$A$37,AJ$4,'TIME REPORT'!$E$6:$E$37,$B10)/60)</f>
        <v/>
      </c>
      <c r="AK10" s="85" t="str">
        <f ca="1">IF($B10="","",SUMIFS('TIME REPORT'!$N$6:$N$37,'TIME REPORT'!$A$6:$A$37,AK$4,'TIME REPORT'!$E$6:$E$37,$B10)+SUMIFS('TIME REPORT'!$P$6:$P$37,'TIME REPORT'!$A$6:$A$37,AK$4,'TIME REPORT'!$E$6:$E$37,$B10)/60)</f>
        <v/>
      </c>
      <c r="AL10" s="86">
        <f t="shared" ca="1" si="0"/>
        <v>0</v>
      </c>
      <c r="AM10" s="38"/>
      <c r="AN10" s="38"/>
      <c r="AO10" s="38"/>
      <c r="AP10" s="23"/>
      <c r="AQ10" s="23"/>
      <c r="AR10" s="23"/>
      <c r="AS10"/>
      <c r="AT10"/>
      <c r="AU10"/>
      <c r="AV10"/>
      <c r="AW10"/>
      <c r="AX10"/>
      <c r="AY10"/>
      <c r="AZ10"/>
      <c r="BA10"/>
    </row>
    <row r="11" spans="1:53" ht="29.4" thickBot="1">
      <c r="A11" s="33">
        <v>6</v>
      </c>
      <c r="B11" s="112" t="str" cm="1">
        <f t="array" aca="1" ref="B11" ca="1">IFERROR(INDEX(_xlfn._xlws.FILTER(ClientCodeList,COUNTIF('TIME REPORT'!$E$6:$E$37,ClientCodeList)&gt;0),ROWS($B$6:B11)),"")</f>
        <v/>
      </c>
      <c r="C11" s="113"/>
      <c r="D11" s="84" t="str" cm="1">
        <f t="array" aca="1" ref="D11" ca="1">IF($B11="","",IFERROR(INDEX('TIME REPORT'!$H$6:$H$37,MATCH(1,('TIME REPORT'!$E$6:$E$37=$B11)*('TIME REPORT'!$H$6:$H$37&lt;&gt;""),0)),""))</f>
        <v/>
      </c>
      <c r="E11" s="113"/>
      <c r="F11" s="114"/>
      <c r="G11" s="85" t="str">
        <f ca="1">IF($B11="","",SUMIFS('TIME REPORT'!$N$6:$N$37,'TIME REPORT'!$A$6:$A$37,G$4,'TIME REPORT'!$E$6:$E$37,$B11)+SUMIFS('TIME REPORT'!$P$6:$P$37,'TIME REPORT'!$A$6:$A$37,G$4,'TIME REPORT'!$E$6:$E$37,$B11)/60)</f>
        <v/>
      </c>
      <c r="H11" s="85" t="str">
        <f ca="1">IF($B11="","",SUMIFS('TIME REPORT'!$N$6:$N$37,'TIME REPORT'!$A$6:$A$37,H$4,'TIME REPORT'!$E$6:$E$37,$B11)+SUMIFS('TIME REPORT'!$P$6:$P$37,'TIME REPORT'!$A$6:$A$37,H$4,'TIME REPORT'!$E$6:$E$37,$B11)/60)</f>
        <v/>
      </c>
      <c r="I11" s="85" t="str">
        <f ca="1">IF($B11="","",SUMIFS('TIME REPORT'!$N$6:$N$37,'TIME REPORT'!$A$6:$A$37,I$4,'TIME REPORT'!$E$6:$E$37,$B11)+SUMIFS('TIME REPORT'!$P$6:$P$37,'TIME REPORT'!$A$6:$A$37,I$4,'TIME REPORT'!$E$6:$E$37,$B11)/60)</f>
        <v/>
      </c>
      <c r="J11" s="85" t="str">
        <f ca="1">IF($B11="","",SUMIFS('TIME REPORT'!$N$6:$N$37,'TIME REPORT'!$A$6:$A$37,J$4,'TIME REPORT'!$E$6:$E$37,$B11)+SUMIFS('TIME REPORT'!$P$6:$P$37,'TIME REPORT'!$A$6:$A$37,J$4,'TIME REPORT'!$E$6:$E$37,$B11)/60)</f>
        <v/>
      </c>
      <c r="K11" s="85" t="str">
        <f ca="1">IF($B11="","",SUMIFS('TIME REPORT'!$N$6:$N$37,'TIME REPORT'!$A$6:$A$37,K$4,'TIME REPORT'!$E$6:$E$37,$B11)+SUMIFS('TIME REPORT'!$P$6:$P$37,'TIME REPORT'!$A$6:$A$37,K$4,'TIME REPORT'!$E$6:$E$37,$B11)/60)</f>
        <v/>
      </c>
      <c r="L11" s="85" t="str">
        <f ca="1">IF($B11="","",SUMIFS('TIME REPORT'!$N$6:$N$37,'TIME REPORT'!$A$6:$A$37,L$4,'TIME REPORT'!$E$6:$E$37,$B11)+SUMIFS('TIME REPORT'!$P$6:$P$37,'TIME REPORT'!$A$6:$A$37,L$4,'TIME REPORT'!$E$6:$E$37,$B11)/60)</f>
        <v/>
      </c>
      <c r="M11" s="85" t="str">
        <f ca="1">IF($B11="","",SUMIFS('TIME REPORT'!$N$6:$N$37,'TIME REPORT'!$A$6:$A$37,M$4,'TIME REPORT'!$E$6:$E$37,$B11)+SUMIFS('TIME REPORT'!$P$6:$P$37,'TIME REPORT'!$A$6:$A$37,M$4,'TIME REPORT'!$E$6:$E$37,$B11)/60)</f>
        <v/>
      </c>
      <c r="N11" s="85" t="str">
        <f ca="1">IF($B11="","",SUMIFS('TIME REPORT'!$N$6:$N$37,'TIME REPORT'!$A$6:$A$37,N$4,'TIME REPORT'!$E$6:$E$37,$B11)+SUMIFS('TIME REPORT'!$P$6:$P$37,'TIME REPORT'!$A$6:$A$37,N$4,'TIME REPORT'!$E$6:$E$37,$B11)/60)</f>
        <v/>
      </c>
      <c r="O11" s="85" t="str">
        <f ca="1">IF($B11="","",SUMIFS('TIME REPORT'!$N$6:$N$37,'TIME REPORT'!$A$6:$A$37,O$4,'TIME REPORT'!$E$6:$E$37,$B11)+SUMIFS('TIME REPORT'!$P$6:$P$37,'TIME REPORT'!$A$6:$A$37,O$4,'TIME REPORT'!$E$6:$E$37,$B11)/60)</f>
        <v/>
      </c>
      <c r="P11" s="85" t="str">
        <f ca="1">IF($B11="","",SUMIFS('TIME REPORT'!$N$6:$N$37,'TIME REPORT'!$A$6:$A$37,P$4,'TIME REPORT'!$E$6:$E$37,$B11)+SUMIFS('TIME REPORT'!$P$6:$P$37,'TIME REPORT'!$A$6:$A$37,P$4,'TIME REPORT'!$E$6:$E$37,$B11)/60)</f>
        <v/>
      </c>
      <c r="Q11" s="85" t="str">
        <f ca="1">IF($B11="","",SUMIFS('TIME REPORT'!$N$6:$N$37,'TIME REPORT'!$A$6:$A$37,Q$4,'TIME REPORT'!$E$6:$E$37,$B11)+SUMIFS('TIME REPORT'!$P$6:$P$37,'TIME REPORT'!$A$6:$A$37,Q$4,'TIME REPORT'!$E$6:$E$37,$B11)/60)</f>
        <v/>
      </c>
      <c r="R11" s="85" t="str">
        <f ca="1">IF($B11="","",SUMIFS('TIME REPORT'!$N$6:$N$37,'TIME REPORT'!$A$6:$A$37,R$4,'TIME REPORT'!$E$6:$E$37,$B11)+SUMIFS('TIME REPORT'!$P$6:$P$37,'TIME REPORT'!$A$6:$A$37,R$4,'TIME REPORT'!$E$6:$E$37,$B11)/60)</f>
        <v/>
      </c>
      <c r="S11" s="85" t="str">
        <f ca="1">IF($B11="","",SUMIFS('TIME REPORT'!$N$6:$N$37,'TIME REPORT'!$A$6:$A$37,S$4,'TIME REPORT'!$E$6:$E$37,$B11)+SUMIFS('TIME REPORT'!$P$6:$P$37,'TIME REPORT'!$A$6:$A$37,S$4,'TIME REPORT'!$E$6:$E$37,$B11)/60)</f>
        <v/>
      </c>
      <c r="T11" s="85" t="str">
        <f ca="1">IF($B11="","",SUMIFS('TIME REPORT'!$N$6:$N$37,'TIME REPORT'!$A$6:$A$37,T$4,'TIME REPORT'!$E$6:$E$37,$B11)+SUMIFS('TIME REPORT'!$P$6:$P$37,'TIME REPORT'!$A$6:$A$37,T$4,'TIME REPORT'!$E$6:$E$37,$B11)/60)</f>
        <v/>
      </c>
      <c r="U11" s="85" t="str">
        <f ca="1">IF($B11="","",SUMIFS('TIME REPORT'!$N$6:$N$37,'TIME REPORT'!$A$6:$A$37,U$4,'TIME REPORT'!$E$6:$E$37,$B11)+SUMIFS('TIME REPORT'!$P$6:$P$37,'TIME REPORT'!$A$6:$A$37,U$4,'TIME REPORT'!$E$6:$E$37,$B11)/60)</f>
        <v/>
      </c>
      <c r="V11" s="85" t="str">
        <f ca="1">IF($B11="","",SUMIFS('TIME REPORT'!$N$6:$N$37,'TIME REPORT'!$A$6:$A$37,V$4,'TIME REPORT'!$E$6:$E$37,$B11)+SUMIFS('TIME REPORT'!$P$6:$P$37,'TIME REPORT'!$A$6:$A$37,V$4,'TIME REPORT'!$E$6:$E$37,$B11)/60)</f>
        <v/>
      </c>
      <c r="W11" s="85" t="str">
        <f ca="1">IF($B11="","",SUMIFS('TIME REPORT'!$N$6:$N$37,'TIME REPORT'!$A$6:$A$37,W$4,'TIME REPORT'!$E$6:$E$37,$B11)+SUMIFS('TIME REPORT'!$P$6:$P$37,'TIME REPORT'!$A$6:$A$37,W$4,'TIME REPORT'!$E$6:$E$37,$B11)/60)</f>
        <v/>
      </c>
      <c r="X11" s="85" t="str">
        <f ca="1">IF($B11="","",SUMIFS('TIME REPORT'!$N$6:$N$37,'TIME REPORT'!$A$6:$A$37,X$4,'TIME REPORT'!$E$6:$E$37,$B11)+SUMIFS('TIME REPORT'!$P$6:$P$37,'TIME REPORT'!$A$6:$A$37,X$4,'TIME REPORT'!$E$6:$E$37,$B11)/60)</f>
        <v/>
      </c>
      <c r="Y11" s="85" t="str">
        <f ca="1">IF($B11="","",SUMIFS('TIME REPORT'!$N$6:$N$37,'TIME REPORT'!$A$6:$A$37,Y$4,'TIME REPORT'!$E$6:$E$37,$B11)+SUMIFS('TIME REPORT'!$P$6:$P$37,'TIME REPORT'!$A$6:$A$37,Y$4,'TIME REPORT'!$E$6:$E$37,$B11)/60)</f>
        <v/>
      </c>
      <c r="Z11" s="85" t="str">
        <f ca="1">IF($B11="","",SUMIFS('TIME REPORT'!$N$6:$N$37,'TIME REPORT'!$A$6:$A$37,Z$4,'TIME REPORT'!$E$6:$E$37,$B11)+SUMIFS('TIME REPORT'!$P$6:$P$37,'TIME REPORT'!$A$6:$A$37,Z$4,'TIME REPORT'!$E$6:$E$37,$B11)/60)</f>
        <v/>
      </c>
      <c r="AA11" s="85" t="str">
        <f ca="1">IF($B11="","",SUMIFS('TIME REPORT'!$N$6:$N$37,'TIME REPORT'!$A$6:$A$37,AA$4,'TIME REPORT'!$E$6:$E$37,$B11)+SUMIFS('TIME REPORT'!$P$6:$P$37,'TIME REPORT'!$A$6:$A$37,AA$4,'TIME REPORT'!$E$6:$E$37,$B11)/60)</f>
        <v/>
      </c>
      <c r="AB11" s="85" t="str">
        <f ca="1">IF($B11="","",SUMIFS('TIME REPORT'!$N$6:$N$37,'TIME REPORT'!$A$6:$A$37,AB$4,'TIME REPORT'!$E$6:$E$37,$B11)+SUMIFS('TIME REPORT'!$P$6:$P$37,'TIME REPORT'!$A$6:$A$37,AB$4,'TIME REPORT'!$E$6:$E$37,$B11)/60)</f>
        <v/>
      </c>
      <c r="AC11" s="85" t="str">
        <f ca="1">IF($B11="","",SUMIFS('TIME REPORT'!$N$6:$N$37,'TIME REPORT'!$A$6:$A$37,AC$4,'TIME REPORT'!$E$6:$E$37,$B11)+SUMIFS('TIME REPORT'!$P$6:$P$37,'TIME REPORT'!$A$6:$A$37,AC$4,'TIME REPORT'!$E$6:$E$37,$B11)/60)</f>
        <v/>
      </c>
      <c r="AD11" s="85" t="str">
        <f ca="1">IF($B11="","",SUMIFS('TIME REPORT'!$N$6:$N$37,'TIME REPORT'!$A$6:$A$37,AD$4,'TIME REPORT'!$E$6:$E$37,$B11)+SUMIFS('TIME REPORT'!$P$6:$P$37,'TIME REPORT'!$A$6:$A$37,AD$4,'TIME REPORT'!$E$6:$E$37,$B11)/60)</f>
        <v/>
      </c>
      <c r="AE11" s="85" t="str">
        <f ca="1">IF($B11="","",SUMIFS('TIME REPORT'!$N$6:$N$37,'TIME REPORT'!$A$6:$A$37,AE$4,'TIME REPORT'!$E$6:$E$37,$B11)+SUMIFS('TIME REPORT'!$P$6:$P$37,'TIME REPORT'!$A$6:$A$37,AE$4,'TIME REPORT'!$E$6:$E$37,$B11)/60)</f>
        <v/>
      </c>
      <c r="AF11" s="85" t="str">
        <f ca="1">IF($B11="","",SUMIFS('TIME REPORT'!$N$6:$N$37,'TIME REPORT'!$A$6:$A$37,AF$4,'TIME REPORT'!$E$6:$E$37,$B11)+SUMIFS('TIME REPORT'!$P$6:$P$37,'TIME REPORT'!$A$6:$A$37,AF$4,'TIME REPORT'!$E$6:$E$37,$B11)/60)</f>
        <v/>
      </c>
      <c r="AG11" s="85" t="str">
        <f ca="1">IF($B11="","",SUMIFS('TIME REPORT'!$N$6:$N$37,'TIME REPORT'!$A$6:$A$37,AG$4,'TIME REPORT'!$E$6:$E$37,$B11)+SUMIFS('TIME REPORT'!$P$6:$P$37,'TIME REPORT'!$A$6:$A$37,AG$4,'TIME REPORT'!$E$6:$E$37,$B11)/60)</f>
        <v/>
      </c>
      <c r="AH11" s="85" t="str">
        <f ca="1">IF($B11="","",SUMIFS('TIME REPORT'!$N$6:$N$37,'TIME REPORT'!$A$6:$A$37,AH$4,'TIME REPORT'!$E$6:$E$37,$B11)+SUMIFS('TIME REPORT'!$P$6:$P$37,'TIME REPORT'!$A$6:$A$37,AH$4,'TIME REPORT'!$E$6:$E$37,$B11)/60)</f>
        <v/>
      </c>
      <c r="AI11" s="85" t="str">
        <f ca="1">IF($B11="","",SUMIFS('TIME REPORT'!$N$6:$N$37,'TIME REPORT'!$A$6:$A$37,AI$4,'TIME REPORT'!$E$6:$E$37,$B11)+SUMIFS('TIME REPORT'!$P$6:$P$37,'TIME REPORT'!$A$6:$A$37,AI$4,'TIME REPORT'!$E$6:$E$37,$B11)/60)</f>
        <v/>
      </c>
      <c r="AJ11" s="85" t="str">
        <f ca="1">IF($B11="","",SUMIFS('TIME REPORT'!$N$6:$N$37,'TIME REPORT'!$A$6:$A$37,AJ$4,'TIME REPORT'!$E$6:$E$37,$B11)+SUMIFS('TIME REPORT'!$P$6:$P$37,'TIME REPORT'!$A$6:$A$37,AJ$4,'TIME REPORT'!$E$6:$E$37,$B11)/60)</f>
        <v/>
      </c>
      <c r="AK11" s="85" t="str">
        <f ca="1">IF($B11="","",SUMIFS('TIME REPORT'!$N$6:$N$37,'TIME REPORT'!$A$6:$A$37,AK$4,'TIME REPORT'!$E$6:$E$37,$B11)+SUMIFS('TIME REPORT'!$P$6:$P$37,'TIME REPORT'!$A$6:$A$37,AK$4,'TIME REPORT'!$E$6:$E$37,$B11)/60)</f>
        <v/>
      </c>
      <c r="AL11" s="86">
        <f t="shared" ca="1" si="0"/>
        <v>0</v>
      </c>
      <c r="AM11" s="38"/>
      <c r="AN11" s="38"/>
      <c r="AO11" s="38"/>
      <c r="AP11" s="23"/>
      <c r="AQ11" s="23"/>
      <c r="AR11" s="23"/>
      <c r="AS11"/>
      <c r="AT11"/>
      <c r="AU11"/>
      <c r="AV11"/>
      <c r="AW11"/>
      <c r="AX11"/>
      <c r="AY11"/>
      <c r="AZ11"/>
      <c r="BA11"/>
    </row>
    <row r="12" spans="1:53" hidden="1">
      <c r="A12" s="33">
        <v>7</v>
      </c>
      <c r="B12" s="112" t="str" cm="1">
        <f t="array" aca="1" ref="B12" ca="1">IFERROR(INDEX(_xlfn._xlws.FILTER(ClientCodeList,COUNTIF('TIME REPORT'!$E$6:$E$37,ClientCodeList)&gt;0),ROWS($B$6:B12)),"")</f>
        <v/>
      </c>
      <c r="C12" s="159"/>
      <c r="D12" s="88" t="str" cm="1">
        <f t="array" aca="1" ref="D12" ca="1">IF($B12="","",IFERROR(INDEX('TIME REPORT'!$H$6:$H$37,MATCH(1,('TIME REPORT'!$E$6:$E$37=$B12)*('TIME REPORT'!$H$6:$H$37&lt;&gt;""),0)),""))</f>
        <v/>
      </c>
      <c r="E12" s="113"/>
      <c r="F12" s="114"/>
      <c r="G12" s="85" t="str">
        <f ca="1">IF($B12="","",SUMIFS('TIME REPORT'!$N$6:$N$37,'TIME REPORT'!$A$6:$A$37,G$4,'TIME REPORT'!$E$6:$E$37,$B12)+SUMIFS('TIME REPORT'!$P$6:$P$37,'TIME REPORT'!$A$6:$A$37,G$4,'TIME REPORT'!$E$6:$E$37,$B12)/60)</f>
        <v/>
      </c>
      <c r="H12" s="85" t="str">
        <f ca="1">IF($B12="","",SUMIFS('TIME REPORT'!$N$6:$N$37,'TIME REPORT'!$A$6:$A$37,H$4,'TIME REPORT'!$E$6:$E$37,$B12)+SUMIFS('TIME REPORT'!$P$6:$P$37,'TIME REPORT'!$A$6:$A$37,H$4,'TIME REPORT'!$E$6:$E$37,$B12)/60)</f>
        <v/>
      </c>
      <c r="I12" s="85" t="str">
        <f ca="1">IF($B12="","",SUMIFS('TIME REPORT'!$N$6:$N$37,'TIME REPORT'!$A$6:$A$37,I$4,'TIME REPORT'!$E$6:$E$37,$B12)+SUMIFS('TIME REPORT'!$P$6:$P$37,'TIME REPORT'!$A$6:$A$37,I$4,'TIME REPORT'!$E$6:$E$37,$B12)/60)</f>
        <v/>
      </c>
      <c r="J12" s="85" t="str">
        <f ca="1">IF($B12="","",SUMIFS('TIME REPORT'!$N$6:$N$37,'TIME REPORT'!$A$6:$A$37,J$4,'TIME REPORT'!$E$6:$E$37,$B12)+SUMIFS('TIME REPORT'!$P$6:$P$37,'TIME REPORT'!$A$6:$A$37,J$4,'TIME REPORT'!$E$6:$E$37,$B12)/60)</f>
        <v/>
      </c>
      <c r="K12" s="85" t="str">
        <f ca="1">IF($B12="","",SUMIFS('TIME REPORT'!$N$6:$N$37,'TIME REPORT'!$A$6:$A$37,K$4,'TIME REPORT'!$E$6:$E$37,$B12)+SUMIFS('TIME REPORT'!$P$6:$P$37,'TIME REPORT'!$A$6:$A$37,K$4,'TIME REPORT'!$E$6:$E$37,$B12)/60)</f>
        <v/>
      </c>
      <c r="L12" s="85" t="str">
        <f ca="1">IF($B12="","",SUMIFS('TIME REPORT'!$N$6:$N$37,'TIME REPORT'!$A$6:$A$37,L$4,'TIME REPORT'!$E$6:$E$37,$B12)+SUMIFS('TIME REPORT'!$P$6:$P$37,'TIME REPORT'!$A$6:$A$37,L$4,'TIME REPORT'!$E$6:$E$37,$B12)/60)</f>
        <v/>
      </c>
      <c r="M12" s="85" t="str">
        <f ca="1">IF($B12="","",SUMIFS('TIME REPORT'!$N$6:$N$37,'TIME REPORT'!$A$6:$A$37,M$4,'TIME REPORT'!$E$6:$E$37,$B12)+SUMIFS('TIME REPORT'!$P$6:$P$37,'TIME REPORT'!$A$6:$A$37,M$4,'TIME REPORT'!$E$6:$E$37,$B12)/60)</f>
        <v/>
      </c>
      <c r="N12" s="85" t="str">
        <f ca="1">IF($B12="","",SUMIFS('TIME REPORT'!$N$6:$N$37,'TIME REPORT'!$A$6:$A$37,N$4,'TIME REPORT'!$E$6:$E$37,$B12)+SUMIFS('TIME REPORT'!$P$6:$P$37,'TIME REPORT'!$A$6:$A$37,N$4,'TIME REPORT'!$E$6:$E$37,$B12)/60)</f>
        <v/>
      </c>
      <c r="O12" s="85" t="str">
        <f ca="1">IF($B12="","",SUMIFS('TIME REPORT'!$N$6:$N$37,'TIME REPORT'!$A$6:$A$37,O$4,'TIME REPORT'!$E$6:$E$37,$B12)+SUMIFS('TIME REPORT'!$P$6:$P$37,'TIME REPORT'!$A$6:$A$37,O$4,'TIME REPORT'!$E$6:$E$37,$B12)/60)</f>
        <v/>
      </c>
      <c r="P12" s="85" t="str">
        <f ca="1">IF($B12="","",SUMIFS('TIME REPORT'!$N$6:$N$37,'TIME REPORT'!$A$6:$A$37,P$4,'TIME REPORT'!$E$6:$E$37,$B12)+SUMIFS('TIME REPORT'!$P$6:$P$37,'TIME REPORT'!$A$6:$A$37,P$4,'TIME REPORT'!$E$6:$E$37,$B12)/60)</f>
        <v/>
      </c>
      <c r="Q12" s="85" t="str">
        <f ca="1">IF($B12="","",SUMIFS('TIME REPORT'!$N$6:$N$37,'TIME REPORT'!$A$6:$A$37,Q$4,'TIME REPORT'!$E$6:$E$37,$B12)+SUMIFS('TIME REPORT'!$P$6:$P$37,'TIME REPORT'!$A$6:$A$37,Q$4,'TIME REPORT'!$E$6:$E$37,$B12)/60)</f>
        <v/>
      </c>
      <c r="R12" s="85" t="str">
        <f ca="1">IF($B12="","",SUMIFS('TIME REPORT'!$N$6:$N$37,'TIME REPORT'!$A$6:$A$37,R$4,'TIME REPORT'!$E$6:$E$37,$B12)+SUMIFS('TIME REPORT'!$P$6:$P$37,'TIME REPORT'!$A$6:$A$37,R$4,'TIME REPORT'!$E$6:$E$37,$B12)/60)</f>
        <v/>
      </c>
      <c r="S12" s="85" t="str">
        <f ca="1">IF($B12="","",SUMIFS('TIME REPORT'!$N$6:$N$37,'TIME REPORT'!$A$6:$A$37,S$4,'TIME REPORT'!$E$6:$E$37,$B12)+SUMIFS('TIME REPORT'!$P$6:$P$37,'TIME REPORT'!$A$6:$A$37,S$4,'TIME REPORT'!$E$6:$E$37,$B12)/60)</f>
        <v/>
      </c>
      <c r="T12" s="85" t="str">
        <f ca="1">IF($B12="","",SUMIFS('TIME REPORT'!$N$6:$N$37,'TIME REPORT'!$A$6:$A$37,T$4,'TIME REPORT'!$E$6:$E$37,$B12)+SUMIFS('TIME REPORT'!$P$6:$P$37,'TIME REPORT'!$A$6:$A$37,T$4,'TIME REPORT'!$E$6:$E$37,$B12)/60)</f>
        <v/>
      </c>
      <c r="U12" s="85" t="str">
        <f ca="1">IF($B12="","",SUMIFS('TIME REPORT'!$N$6:$N$37,'TIME REPORT'!$A$6:$A$37,U$4,'TIME REPORT'!$E$6:$E$37,$B12)+SUMIFS('TIME REPORT'!$P$6:$P$37,'TIME REPORT'!$A$6:$A$37,U$4,'TIME REPORT'!$E$6:$E$37,$B12)/60)</f>
        <v/>
      </c>
      <c r="V12" s="85" t="str">
        <f ca="1">IF($B12="","",SUMIFS('TIME REPORT'!$N$6:$N$37,'TIME REPORT'!$A$6:$A$37,V$4,'TIME REPORT'!$E$6:$E$37,$B12)+SUMIFS('TIME REPORT'!$P$6:$P$37,'TIME REPORT'!$A$6:$A$37,V$4,'TIME REPORT'!$E$6:$E$37,$B12)/60)</f>
        <v/>
      </c>
      <c r="W12" s="85" t="str">
        <f ca="1">IF($B12="","",SUMIFS('TIME REPORT'!$N$6:$N$37,'TIME REPORT'!$A$6:$A$37,W$4,'TIME REPORT'!$E$6:$E$37,$B12)+SUMIFS('TIME REPORT'!$P$6:$P$37,'TIME REPORT'!$A$6:$A$37,W$4,'TIME REPORT'!$E$6:$E$37,$B12)/60)</f>
        <v/>
      </c>
      <c r="X12" s="85" t="str">
        <f ca="1">IF($B12="","",SUMIFS('TIME REPORT'!$N$6:$N$37,'TIME REPORT'!$A$6:$A$37,X$4,'TIME REPORT'!$E$6:$E$37,$B12)+SUMIFS('TIME REPORT'!$P$6:$P$37,'TIME REPORT'!$A$6:$A$37,X$4,'TIME REPORT'!$E$6:$E$37,$B12)/60)</f>
        <v/>
      </c>
      <c r="Y12" s="85" t="str">
        <f ca="1">IF($B12="","",SUMIFS('TIME REPORT'!$N$6:$N$37,'TIME REPORT'!$A$6:$A$37,Y$4,'TIME REPORT'!$E$6:$E$37,$B12)+SUMIFS('TIME REPORT'!$P$6:$P$37,'TIME REPORT'!$A$6:$A$37,Y$4,'TIME REPORT'!$E$6:$E$37,$B12)/60)</f>
        <v/>
      </c>
      <c r="Z12" s="85" t="str">
        <f ca="1">IF($B12="","",SUMIFS('TIME REPORT'!$N$6:$N$37,'TIME REPORT'!$A$6:$A$37,Z$4,'TIME REPORT'!$E$6:$E$37,$B12)+SUMIFS('TIME REPORT'!$P$6:$P$37,'TIME REPORT'!$A$6:$A$37,Z$4,'TIME REPORT'!$E$6:$E$37,$B12)/60)</f>
        <v/>
      </c>
      <c r="AA12" s="85" t="str">
        <f ca="1">IF($B12="","",SUMIFS('TIME REPORT'!$N$6:$N$37,'TIME REPORT'!$A$6:$A$37,AA$4,'TIME REPORT'!$E$6:$E$37,$B12)+SUMIFS('TIME REPORT'!$P$6:$P$37,'TIME REPORT'!$A$6:$A$37,AA$4,'TIME REPORT'!$E$6:$E$37,$B12)/60)</f>
        <v/>
      </c>
      <c r="AB12" s="85" t="str">
        <f ca="1">IF($B12="","",SUMIFS('TIME REPORT'!$N$6:$N$37,'TIME REPORT'!$A$6:$A$37,AB$4,'TIME REPORT'!$E$6:$E$37,$B12)+SUMIFS('TIME REPORT'!$P$6:$P$37,'TIME REPORT'!$A$6:$A$37,AB$4,'TIME REPORT'!$E$6:$E$37,$B12)/60)</f>
        <v/>
      </c>
      <c r="AC12" s="85" t="str">
        <f ca="1">IF($B12="","",SUMIFS('TIME REPORT'!$N$6:$N$37,'TIME REPORT'!$A$6:$A$37,AC$4,'TIME REPORT'!$E$6:$E$37,$B12)+SUMIFS('TIME REPORT'!$P$6:$P$37,'TIME REPORT'!$A$6:$A$37,AC$4,'TIME REPORT'!$E$6:$E$37,$B12)/60)</f>
        <v/>
      </c>
      <c r="AD12" s="85" t="str">
        <f ca="1">IF($B12="","",SUMIFS('TIME REPORT'!$N$6:$N$37,'TIME REPORT'!$A$6:$A$37,AD$4,'TIME REPORT'!$E$6:$E$37,$B12)+SUMIFS('TIME REPORT'!$P$6:$P$37,'TIME REPORT'!$A$6:$A$37,AD$4,'TIME REPORT'!$E$6:$E$37,$B12)/60)</f>
        <v/>
      </c>
      <c r="AE12" s="85" t="str">
        <f ca="1">IF($B12="","",SUMIFS('TIME REPORT'!$N$6:$N$37,'TIME REPORT'!$A$6:$A$37,AE$4,'TIME REPORT'!$E$6:$E$37,$B12)+SUMIFS('TIME REPORT'!$P$6:$P$37,'TIME REPORT'!$A$6:$A$37,AE$4,'TIME REPORT'!$E$6:$E$37,$B12)/60)</f>
        <v/>
      </c>
      <c r="AF12" s="85" t="str">
        <f ca="1">IF($B12="","",SUMIFS('TIME REPORT'!$N$6:$N$37,'TIME REPORT'!$A$6:$A$37,AF$4,'TIME REPORT'!$E$6:$E$37,$B12)+SUMIFS('TIME REPORT'!$P$6:$P$37,'TIME REPORT'!$A$6:$A$37,AF$4,'TIME REPORT'!$E$6:$E$37,$B12)/60)</f>
        <v/>
      </c>
      <c r="AG12" s="85" t="str">
        <f ca="1">IF($B12="","",SUMIFS('TIME REPORT'!$N$6:$N$37,'TIME REPORT'!$A$6:$A$37,AG$4,'TIME REPORT'!$E$6:$E$37,$B12)+SUMIFS('TIME REPORT'!$P$6:$P$37,'TIME REPORT'!$A$6:$A$37,AG$4,'TIME REPORT'!$E$6:$E$37,$B12)/60)</f>
        <v/>
      </c>
      <c r="AH12" s="85" t="str">
        <f ca="1">IF($B12="","",SUMIFS('TIME REPORT'!$N$6:$N$37,'TIME REPORT'!$A$6:$A$37,AH$4,'TIME REPORT'!$E$6:$E$37,$B12)+SUMIFS('TIME REPORT'!$P$6:$P$37,'TIME REPORT'!$A$6:$A$37,AH$4,'TIME REPORT'!$E$6:$E$37,$B12)/60)</f>
        <v/>
      </c>
      <c r="AI12" s="85" t="str">
        <f ca="1">IF($B12="","",SUMIFS('TIME REPORT'!$N$6:$N$37,'TIME REPORT'!$A$6:$A$37,AI$4,'TIME REPORT'!$E$6:$E$37,$B12)+SUMIFS('TIME REPORT'!$P$6:$P$37,'TIME REPORT'!$A$6:$A$37,AI$4,'TIME REPORT'!$E$6:$E$37,$B12)/60)</f>
        <v/>
      </c>
      <c r="AJ12" s="85" t="str">
        <f ca="1">IF($B12="","",SUMIFS('TIME REPORT'!$N$6:$N$37,'TIME REPORT'!$A$6:$A$37,AJ$4,'TIME REPORT'!$E$6:$E$37,$B12)+SUMIFS('TIME REPORT'!$P$6:$P$37,'TIME REPORT'!$A$6:$A$37,AJ$4,'TIME REPORT'!$E$6:$E$37,$B12)/60)</f>
        <v/>
      </c>
      <c r="AK12" s="85" t="str">
        <f ca="1">IF($B12="","",SUMIFS('TIME REPORT'!$N$6:$N$37,'TIME REPORT'!$A$6:$A$37,AK$4,'TIME REPORT'!$E$6:$E$37,$B12)+SUMIFS('TIME REPORT'!$P$6:$P$37,'TIME REPORT'!$A$6:$A$37,AK$4,'TIME REPORT'!$E$6:$E$37,$B12)/60)</f>
        <v/>
      </c>
      <c r="AL12" s="86">
        <f t="shared" ca="1" si="0"/>
        <v>0</v>
      </c>
      <c r="AM12" s="38"/>
      <c r="AN12" s="38"/>
      <c r="AO12" s="38"/>
      <c r="AP12" s="23"/>
      <c r="AQ12" s="23"/>
      <c r="AR12" s="23"/>
      <c r="AS12"/>
      <c r="AT12"/>
      <c r="AU12"/>
      <c r="AV12"/>
      <c r="AW12"/>
      <c r="AX12"/>
      <c r="AY12"/>
      <c r="AZ12"/>
      <c r="BA12"/>
    </row>
    <row r="13" spans="1:53" hidden="1">
      <c r="A13" s="33">
        <v>8</v>
      </c>
      <c r="B13" s="160" t="str" cm="1">
        <f t="array" aca="1" ref="B13" ca="1">IFERROR(INDEX(_xlfn._xlws.FILTER(ClientCodeList,COUNTIF('TIME REPORT'!$E$6:$E$37,ClientCodeList)&gt;0),ROWS($B$6:B13)),"")</f>
        <v/>
      </c>
      <c r="C13" s="113"/>
      <c r="D13" s="88" t="str" cm="1">
        <f t="array" aca="1" ref="D13" ca="1">IF($B13="","",IFERROR(INDEX('TIME REPORT'!$H$6:$H$37,MATCH(1,('TIME REPORT'!$E$6:$E$37=$B13)*('TIME REPORT'!$H$6:$H$37&lt;&gt;""),0)),""))</f>
        <v/>
      </c>
      <c r="E13" s="113"/>
      <c r="F13" s="114"/>
      <c r="G13" s="85" t="str">
        <f ca="1">IF($B13="","",SUMIFS('TIME REPORT'!$N$6:$N$37,'TIME REPORT'!$A$6:$A$37,G$4,'TIME REPORT'!$E$6:$E$37,$B13)+SUMIFS('TIME REPORT'!$P$6:$P$37,'TIME REPORT'!$A$6:$A$37,G$4,'TIME REPORT'!$E$6:$E$37,$B13)/60)</f>
        <v/>
      </c>
      <c r="H13" s="85" t="str">
        <f ca="1">IF($B13="","",SUMIFS('TIME REPORT'!$N$6:$N$37,'TIME REPORT'!$A$6:$A$37,H$4,'TIME REPORT'!$E$6:$E$37,$B13)+SUMIFS('TIME REPORT'!$P$6:$P$37,'TIME REPORT'!$A$6:$A$37,H$4,'TIME REPORT'!$E$6:$E$37,$B13)/60)</f>
        <v/>
      </c>
      <c r="I13" s="85" t="str">
        <f ca="1">IF($B13="","",SUMIFS('TIME REPORT'!$N$6:$N$37,'TIME REPORT'!$A$6:$A$37,I$4,'TIME REPORT'!$E$6:$E$37,$B13)+SUMIFS('TIME REPORT'!$P$6:$P$37,'TIME REPORT'!$A$6:$A$37,I$4,'TIME REPORT'!$E$6:$E$37,$B13)/60)</f>
        <v/>
      </c>
      <c r="J13" s="85" t="str">
        <f ca="1">IF($B13="","",SUMIFS('TIME REPORT'!$N$6:$N$37,'TIME REPORT'!$A$6:$A$37,J$4,'TIME REPORT'!$E$6:$E$37,$B13)+SUMIFS('TIME REPORT'!$P$6:$P$37,'TIME REPORT'!$A$6:$A$37,J$4,'TIME REPORT'!$E$6:$E$37,$B13)/60)</f>
        <v/>
      </c>
      <c r="K13" s="85" t="str">
        <f ca="1">IF($B13="","",SUMIFS('TIME REPORT'!$N$6:$N$37,'TIME REPORT'!$A$6:$A$37,K$4,'TIME REPORT'!$E$6:$E$37,$B13)+SUMIFS('TIME REPORT'!$P$6:$P$37,'TIME REPORT'!$A$6:$A$37,K$4,'TIME REPORT'!$E$6:$E$37,$B13)/60)</f>
        <v/>
      </c>
      <c r="L13" s="85" t="str">
        <f ca="1">IF($B13="","",SUMIFS('TIME REPORT'!$N$6:$N$37,'TIME REPORT'!$A$6:$A$37,L$4,'TIME REPORT'!$E$6:$E$37,$B13)+SUMIFS('TIME REPORT'!$P$6:$P$37,'TIME REPORT'!$A$6:$A$37,L$4,'TIME REPORT'!$E$6:$E$37,$B13)/60)</f>
        <v/>
      </c>
      <c r="M13" s="85" t="str">
        <f ca="1">IF($B13="","",SUMIFS('TIME REPORT'!$N$6:$N$37,'TIME REPORT'!$A$6:$A$37,M$4,'TIME REPORT'!$E$6:$E$37,$B13)+SUMIFS('TIME REPORT'!$P$6:$P$37,'TIME REPORT'!$A$6:$A$37,M$4,'TIME REPORT'!$E$6:$E$37,$B13)/60)</f>
        <v/>
      </c>
      <c r="N13" s="85" t="str">
        <f ca="1">IF($B13="","",SUMIFS('TIME REPORT'!$N$6:$N$37,'TIME REPORT'!$A$6:$A$37,N$4,'TIME REPORT'!$E$6:$E$37,$B13)+SUMIFS('TIME REPORT'!$P$6:$P$37,'TIME REPORT'!$A$6:$A$37,N$4,'TIME REPORT'!$E$6:$E$37,$B13)/60)</f>
        <v/>
      </c>
      <c r="O13" s="85" t="str">
        <f ca="1">IF($B13="","",SUMIFS('TIME REPORT'!$N$6:$N$37,'TIME REPORT'!$A$6:$A$37,O$4,'TIME REPORT'!$E$6:$E$37,$B13)+SUMIFS('TIME REPORT'!$P$6:$P$37,'TIME REPORT'!$A$6:$A$37,O$4,'TIME REPORT'!$E$6:$E$37,$B13)/60)</f>
        <v/>
      </c>
      <c r="P13" s="85" t="str">
        <f ca="1">IF($B13="","",SUMIFS('TIME REPORT'!$N$6:$N$37,'TIME REPORT'!$A$6:$A$37,P$4,'TIME REPORT'!$E$6:$E$37,$B13)+SUMIFS('TIME REPORT'!$P$6:$P$37,'TIME REPORT'!$A$6:$A$37,P$4,'TIME REPORT'!$E$6:$E$37,$B13)/60)</f>
        <v/>
      </c>
      <c r="Q13" s="85" t="str">
        <f ca="1">IF($B13="","",SUMIFS('TIME REPORT'!$N$6:$N$37,'TIME REPORT'!$A$6:$A$37,Q$4,'TIME REPORT'!$E$6:$E$37,$B13)+SUMIFS('TIME REPORT'!$P$6:$P$37,'TIME REPORT'!$A$6:$A$37,Q$4,'TIME REPORT'!$E$6:$E$37,$B13)/60)</f>
        <v/>
      </c>
      <c r="R13" s="85" t="str">
        <f ca="1">IF($B13="","",SUMIFS('TIME REPORT'!$N$6:$N$37,'TIME REPORT'!$A$6:$A$37,R$4,'TIME REPORT'!$E$6:$E$37,$B13)+SUMIFS('TIME REPORT'!$P$6:$P$37,'TIME REPORT'!$A$6:$A$37,R$4,'TIME REPORT'!$E$6:$E$37,$B13)/60)</f>
        <v/>
      </c>
      <c r="S13" s="85" t="str">
        <f ca="1">IF($B13="","",SUMIFS('TIME REPORT'!$N$6:$N$37,'TIME REPORT'!$A$6:$A$37,S$4,'TIME REPORT'!$E$6:$E$37,$B13)+SUMIFS('TIME REPORT'!$P$6:$P$37,'TIME REPORT'!$A$6:$A$37,S$4,'TIME REPORT'!$E$6:$E$37,$B13)/60)</f>
        <v/>
      </c>
      <c r="T13" s="85" t="str">
        <f ca="1">IF($B13="","",SUMIFS('TIME REPORT'!$N$6:$N$37,'TIME REPORT'!$A$6:$A$37,T$4,'TIME REPORT'!$E$6:$E$37,$B13)+SUMIFS('TIME REPORT'!$P$6:$P$37,'TIME REPORT'!$A$6:$A$37,T$4,'TIME REPORT'!$E$6:$E$37,$B13)/60)</f>
        <v/>
      </c>
      <c r="U13" s="85" t="str">
        <f ca="1">IF($B13="","",SUMIFS('TIME REPORT'!$N$6:$N$37,'TIME REPORT'!$A$6:$A$37,U$4,'TIME REPORT'!$E$6:$E$37,$B13)+SUMIFS('TIME REPORT'!$P$6:$P$37,'TIME REPORT'!$A$6:$A$37,U$4,'TIME REPORT'!$E$6:$E$37,$B13)/60)</f>
        <v/>
      </c>
      <c r="V13" s="85" t="str">
        <f ca="1">IF($B13="","",SUMIFS('TIME REPORT'!$N$6:$N$37,'TIME REPORT'!$A$6:$A$37,V$4,'TIME REPORT'!$E$6:$E$37,$B13)+SUMIFS('TIME REPORT'!$P$6:$P$37,'TIME REPORT'!$A$6:$A$37,V$4,'TIME REPORT'!$E$6:$E$37,$B13)/60)</f>
        <v/>
      </c>
      <c r="W13" s="85" t="str">
        <f ca="1">IF($B13="","",SUMIFS('TIME REPORT'!$N$6:$N$37,'TIME REPORT'!$A$6:$A$37,W$4,'TIME REPORT'!$E$6:$E$37,$B13)+SUMIFS('TIME REPORT'!$P$6:$P$37,'TIME REPORT'!$A$6:$A$37,W$4,'TIME REPORT'!$E$6:$E$37,$B13)/60)</f>
        <v/>
      </c>
      <c r="X13" s="85" t="str">
        <f ca="1">IF($B13="","",SUMIFS('TIME REPORT'!$N$6:$N$37,'TIME REPORT'!$A$6:$A$37,X$4,'TIME REPORT'!$E$6:$E$37,$B13)+SUMIFS('TIME REPORT'!$P$6:$P$37,'TIME REPORT'!$A$6:$A$37,X$4,'TIME REPORT'!$E$6:$E$37,$B13)/60)</f>
        <v/>
      </c>
      <c r="Y13" s="85" t="str">
        <f ca="1">IF($B13="","",SUMIFS('TIME REPORT'!$N$6:$N$37,'TIME REPORT'!$A$6:$A$37,Y$4,'TIME REPORT'!$E$6:$E$37,$B13)+SUMIFS('TIME REPORT'!$P$6:$P$37,'TIME REPORT'!$A$6:$A$37,Y$4,'TIME REPORT'!$E$6:$E$37,$B13)/60)</f>
        <v/>
      </c>
      <c r="Z13" s="85" t="str">
        <f ca="1">IF($B13="","",SUMIFS('TIME REPORT'!$N$6:$N$37,'TIME REPORT'!$A$6:$A$37,Z$4,'TIME REPORT'!$E$6:$E$37,$B13)+SUMIFS('TIME REPORT'!$P$6:$P$37,'TIME REPORT'!$A$6:$A$37,Z$4,'TIME REPORT'!$E$6:$E$37,$B13)/60)</f>
        <v/>
      </c>
      <c r="AA13" s="85" t="str">
        <f ca="1">IF($B13="","",SUMIFS('TIME REPORT'!$N$6:$N$37,'TIME REPORT'!$A$6:$A$37,AA$4,'TIME REPORT'!$E$6:$E$37,$B13)+SUMIFS('TIME REPORT'!$P$6:$P$37,'TIME REPORT'!$A$6:$A$37,AA$4,'TIME REPORT'!$E$6:$E$37,$B13)/60)</f>
        <v/>
      </c>
      <c r="AB13" s="85" t="str">
        <f ca="1">IF($B13="","",SUMIFS('TIME REPORT'!$N$6:$N$37,'TIME REPORT'!$A$6:$A$37,AB$4,'TIME REPORT'!$E$6:$E$37,$B13)+SUMIFS('TIME REPORT'!$P$6:$P$37,'TIME REPORT'!$A$6:$A$37,AB$4,'TIME REPORT'!$E$6:$E$37,$B13)/60)</f>
        <v/>
      </c>
      <c r="AC13" s="85" t="str">
        <f ca="1">IF($B13="","",SUMIFS('TIME REPORT'!$N$6:$N$37,'TIME REPORT'!$A$6:$A$37,AC$4,'TIME REPORT'!$E$6:$E$37,$B13)+SUMIFS('TIME REPORT'!$P$6:$P$37,'TIME REPORT'!$A$6:$A$37,AC$4,'TIME REPORT'!$E$6:$E$37,$B13)/60)</f>
        <v/>
      </c>
      <c r="AD13" s="85" t="str">
        <f ca="1">IF($B13="","",SUMIFS('TIME REPORT'!$N$6:$N$37,'TIME REPORT'!$A$6:$A$37,AD$4,'TIME REPORT'!$E$6:$E$37,$B13)+SUMIFS('TIME REPORT'!$P$6:$P$37,'TIME REPORT'!$A$6:$A$37,AD$4,'TIME REPORT'!$E$6:$E$37,$B13)/60)</f>
        <v/>
      </c>
      <c r="AE13" s="85" t="str">
        <f ca="1">IF($B13="","",SUMIFS('TIME REPORT'!$N$6:$N$37,'TIME REPORT'!$A$6:$A$37,AE$4,'TIME REPORT'!$E$6:$E$37,$B13)+SUMIFS('TIME REPORT'!$P$6:$P$37,'TIME REPORT'!$A$6:$A$37,AE$4,'TIME REPORT'!$E$6:$E$37,$B13)/60)</f>
        <v/>
      </c>
      <c r="AF13" s="85" t="str">
        <f ca="1">IF($B13="","",SUMIFS('TIME REPORT'!$N$6:$N$37,'TIME REPORT'!$A$6:$A$37,AF$4,'TIME REPORT'!$E$6:$E$37,$B13)+SUMIFS('TIME REPORT'!$P$6:$P$37,'TIME REPORT'!$A$6:$A$37,AF$4,'TIME REPORT'!$E$6:$E$37,$B13)/60)</f>
        <v/>
      </c>
      <c r="AG13" s="85" t="str">
        <f ca="1">IF($B13="","",SUMIFS('TIME REPORT'!$N$6:$N$37,'TIME REPORT'!$A$6:$A$37,AG$4,'TIME REPORT'!$E$6:$E$37,$B13)+SUMIFS('TIME REPORT'!$P$6:$P$37,'TIME REPORT'!$A$6:$A$37,AG$4,'TIME REPORT'!$E$6:$E$37,$B13)/60)</f>
        <v/>
      </c>
      <c r="AH13" s="85" t="str">
        <f ca="1">IF($B13="","",SUMIFS('TIME REPORT'!$N$6:$N$37,'TIME REPORT'!$A$6:$A$37,AH$4,'TIME REPORT'!$E$6:$E$37,$B13)+SUMIFS('TIME REPORT'!$P$6:$P$37,'TIME REPORT'!$A$6:$A$37,AH$4,'TIME REPORT'!$E$6:$E$37,$B13)/60)</f>
        <v/>
      </c>
      <c r="AI13" s="85" t="str">
        <f ca="1">IF($B13="","",SUMIFS('TIME REPORT'!$N$6:$N$37,'TIME REPORT'!$A$6:$A$37,AI$4,'TIME REPORT'!$E$6:$E$37,$B13)+SUMIFS('TIME REPORT'!$P$6:$P$37,'TIME REPORT'!$A$6:$A$37,AI$4,'TIME REPORT'!$E$6:$E$37,$B13)/60)</f>
        <v/>
      </c>
      <c r="AJ13" s="85" t="str">
        <f ca="1">IF($B13="","",SUMIFS('TIME REPORT'!$N$6:$N$37,'TIME REPORT'!$A$6:$A$37,AJ$4,'TIME REPORT'!$E$6:$E$37,$B13)+SUMIFS('TIME REPORT'!$P$6:$P$37,'TIME REPORT'!$A$6:$A$37,AJ$4,'TIME REPORT'!$E$6:$E$37,$B13)/60)</f>
        <v/>
      </c>
      <c r="AK13" s="85" t="str">
        <f ca="1">IF($B13="","",SUMIFS('TIME REPORT'!$N$6:$N$37,'TIME REPORT'!$A$6:$A$37,AK$4,'TIME REPORT'!$E$6:$E$37,$B13)+SUMIFS('TIME REPORT'!$P$6:$P$37,'TIME REPORT'!$A$6:$A$37,AK$4,'TIME REPORT'!$E$6:$E$37,$B13)/60)</f>
        <v/>
      </c>
      <c r="AL13" s="86">
        <f t="shared" ca="1" si="0"/>
        <v>0</v>
      </c>
      <c r="AM13" s="38"/>
      <c r="AN13" s="38"/>
      <c r="AO13" s="38"/>
      <c r="AP13" s="23"/>
      <c r="AQ13" s="23"/>
      <c r="AR13" s="23"/>
      <c r="AS13"/>
      <c r="AT13"/>
      <c r="AU13"/>
      <c r="AV13"/>
      <c r="AW13"/>
      <c r="AX13"/>
      <c r="AY13"/>
      <c r="AZ13"/>
      <c r="BA13"/>
    </row>
    <row r="14" spans="1:53" hidden="1">
      <c r="A14" s="33">
        <v>9</v>
      </c>
      <c r="B14" s="112" t="str" cm="1">
        <f t="array" aca="1" ref="B14" ca="1">IFERROR(INDEX(_xlfn._xlws.FILTER(ClientCodeList,COUNTIF('TIME REPORT'!$E$6:$E$37,ClientCodeList)&gt;0),ROWS($B$6:B14)),"")</f>
        <v/>
      </c>
      <c r="C14" s="159"/>
      <c r="D14" s="88" t="str" cm="1">
        <f t="array" aca="1" ref="D14" ca="1">IF($B14="","",IFERROR(INDEX('TIME REPORT'!$H$6:$H$37,MATCH(1,('TIME REPORT'!$E$6:$E$37=$B14)*('TIME REPORT'!$H$6:$H$37&lt;&gt;""),0)),""))</f>
        <v/>
      </c>
      <c r="E14" s="113"/>
      <c r="F14" s="114"/>
      <c r="G14" s="85" t="str">
        <f ca="1">IF($B14="","",SUMIFS('TIME REPORT'!$N$6:$N$37,'TIME REPORT'!$A$6:$A$37,G$4,'TIME REPORT'!$E$6:$E$37,$B14)+SUMIFS('TIME REPORT'!$P$6:$P$37,'TIME REPORT'!$A$6:$A$37,G$4,'TIME REPORT'!$E$6:$E$37,$B14)/60)</f>
        <v/>
      </c>
      <c r="H14" s="85" t="str">
        <f ca="1">IF($B14="","",SUMIFS('TIME REPORT'!$N$6:$N$37,'TIME REPORT'!$A$6:$A$37,H$4,'TIME REPORT'!$E$6:$E$37,$B14)+SUMIFS('TIME REPORT'!$P$6:$P$37,'TIME REPORT'!$A$6:$A$37,H$4,'TIME REPORT'!$E$6:$E$37,$B14)/60)</f>
        <v/>
      </c>
      <c r="I14" s="85" t="str">
        <f ca="1">IF($B14="","",SUMIFS('TIME REPORT'!$N$6:$N$37,'TIME REPORT'!$A$6:$A$37,I$4,'TIME REPORT'!$E$6:$E$37,$B14)+SUMIFS('TIME REPORT'!$P$6:$P$37,'TIME REPORT'!$A$6:$A$37,I$4,'TIME REPORT'!$E$6:$E$37,$B14)/60)</f>
        <v/>
      </c>
      <c r="J14" s="85" t="str">
        <f ca="1">IF($B14="","",SUMIFS('TIME REPORT'!$N$6:$N$37,'TIME REPORT'!$A$6:$A$37,J$4,'TIME REPORT'!$E$6:$E$37,$B14)+SUMIFS('TIME REPORT'!$P$6:$P$37,'TIME REPORT'!$A$6:$A$37,J$4,'TIME REPORT'!$E$6:$E$37,$B14)/60)</f>
        <v/>
      </c>
      <c r="K14" s="85" t="str">
        <f ca="1">IF($B14="","",SUMIFS('TIME REPORT'!$N$6:$N$37,'TIME REPORT'!$A$6:$A$37,K$4,'TIME REPORT'!$E$6:$E$37,$B14)+SUMIFS('TIME REPORT'!$P$6:$P$37,'TIME REPORT'!$A$6:$A$37,K$4,'TIME REPORT'!$E$6:$E$37,$B14)/60)</f>
        <v/>
      </c>
      <c r="L14" s="85" t="str">
        <f ca="1">IF($B14="","",SUMIFS('TIME REPORT'!$N$6:$N$37,'TIME REPORT'!$A$6:$A$37,L$4,'TIME REPORT'!$E$6:$E$37,$B14)+SUMIFS('TIME REPORT'!$P$6:$P$37,'TIME REPORT'!$A$6:$A$37,L$4,'TIME REPORT'!$E$6:$E$37,$B14)/60)</f>
        <v/>
      </c>
      <c r="M14" s="85" t="str">
        <f ca="1">IF($B14="","",SUMIFS('TIME REPORT'!$N$6:$N$37,'TIME REPORT'!$A$6:$A$37,M$4,'TIME REPORT'!$E$6:$E$37,$B14)+SUMIFS('TIME REPORT'!$P$6:$P$37,'TIME REPORT'!$A$6:$A$37,M$4,'TIME REPORT'!$E$6:$E$37,$B14)/60)</f>
        <v/>
      </c>
      <c r="N14" s="85" t="str">
        <f ca="1">IF($B14="","",SUMIFS('TIME REPORT'!$N$6:$N$37,'TIME REPORT'!$A$6:$A$37,N$4,'TIME REPORT'!$E$6:$E$37,$B14)+SUMIFS('TIME REPORT'!$P$6:$P$37,'TIME REPORT'!$A$6:$A$37,N$4,'TIME REPORT'!$E$6:$E$37,$B14)/60)</f>
        <v/>
      </c>
      <c r="O14" s="85" t="str">
        <f ca="1">IF($B14="","",SUMIFS('TIME REPORT'!$N$6:$N$37,'TIME REPORT'!$A$6:$A$37,O$4,'TIME REPORT'!$E$6:$E$37,$B14)+SUMIFS('TIME REPORT'!$P$6:$P$37,'TIME REPORT'!$A$6:$A$37,O$4,'TIME REPORT'!$E$6:$E$37,$B14)/60)</f>
        <v/>
      </c>
      <c r="P14" s="85" t="str">
        <f ca="1">IF($B14="","",SUMIFS('TIME REPORT'!$N$6:$N$37,'TIME REPORT'!$A$6:$A$37,P$4,'TIME REPORT'!$E$6:$E$37,$B14)+SUMIFS('TIME REPORT'!$P$6:$P$37,'TIME REPORT'!$A$6:$A$37,P$4,'TIME REPORT'!$E$6:$E$37,$B14)/60)</f>
        <v/>
      </c>
      <c r="Q14" s="85" t="str">
        <f ca="1">IF($B14="","",SUMIFS('TIME REPORT'!$N$6:$N$37,'TIME REPORT'!$A$6:$A$37,Q$4,'TIME REPORT'!$E$6:$E$37,$B14)+SUMIFS('TIME REPORT'!$P$6:$P$37,'TIME REPORT'!$A$6:$A$37,Q$4,'TIME REPORT'!$E$6:$E$37,$B14)/60)</f>
        <v/>
      </c>
      <c r="R14" s="85" t="str">
        <f ca="1">IF($B14="","",SUMIFS('TIME REPORT'!$N$6:$N$37,'TIME REPORT'!$A$6:$A$37,R$4,'TIME REPORT'!$E$6:$E$37,$B14)+SUMIFS('TIME REPORT'!$P$6:$P$37,'TIME REPORT'!$A$6:$A$37,R$4,'TIME REPORT'!$E$6:$E$37,$B14)/60)</f>
        <v/>
      </c>
      <c r="S14" s="85" t="str">
        <f ca="1">IF($B14="","",SUMIFS('TIME REPORT'!$N$6:$N$37,'TIME REPORT'!$A$6:$A$37,S$4,'TIME REPORT'!$E$6:$E$37,$B14)+SUMIFS('TIME REPORT'!$P$6:$P$37,'TIME REPORT'!$A$6:$A$37,S$4,'TIME REPORT'!$E$6:$E$37,$B14)/60)</f>
        <v/>
      </c>
      <c r="T14" s="85" t="str">
        <f ca="1">IF($B14="","",SUMIFS('TIME REPORT'!$N$6:$N$37,'TIME REPORT'!$A$6:$A$37,T$4,'TIME REPORT'!$E$6:$E$37,$B14)+SUMIFS('TIME REPORT'!$P$6:$P$37,'TIME REPORT'!$A$6:$A$37,T$4,'TIME REPORT'!$E$6:$E$37,$B14)/60)</f>
        <v/>
      </c>
      <c r="U14" s="85" t="str">
        <f ca="1">IF($B14="","",SUMIFS('TIME REPORT'!$N$6:$N$37,'TIME REPORT'!$A$6:$A$37,U$4,'TIME REPORT'!$E$6:$E$37,$B14)+SUMIFS('TIME REPORT'!$P$6:$P$37,'TIME REPORT'!$A$6:$A$37,U$4,'TIME REPORT'!$E$6:$E$37,$B14)/60)</f>
        <v/>
      </c>
      <c r="V14" s="85" t="str">
        <f ca="1">IF($B14="","",SUMIFS('TIME REPORT'!$N$6:$N$37,'TIME REPORT'!$A$6:$A$37,V$4,'TIME REPORT'!$E$6:$E$37,$B14)+SUMIFS('TIME REPORT'!$P$6:$P$37,'TIME REPORT'!$A$6:$A$37,V$4,'TIME REPORT'!$E$6:$E$37,$B14)/60)</f>
        <v/>
      </c>
      <c r="W14" s="85" t="str">
        <f ca="1">IF($B14="","",SUMIFS('TIME REPORT'!$N$6:$N$37,'TIME REPORT'!$A$6:$A$37,W$4,'TIME REPORT'!$E$6:$E$37,$B14)+SUMIFS('TIME REPORT'!$P$6:$P$37,'TIME REPORT'!$A$6:$A$37,W$4,'TIME REPORT'!$E$6:$E$37,$B14)/60)</f>
        <v/>
      </c>
      <c r="X14" s="85" t="str">
        <f ca="1">IF($B14="","",SUMIFS('TIME REPORT'!$N$6:$N$37,'TIME REPORT'!$A$6:$A$37,X$4,'TIME REPORT'!$E$6:$E$37,$B14)+SUMIFS('TIME REPORT'!$P$6:$P$37,'TIME REPORT'!$A$6:$A$37,X$4,'TIME REPORT'!$E$6:$E$37,$B14)/60)</f>
        <v/>
      </c>
      <c r="Y14" s="85" t="str">
        <f ca="1">IF($B14="","",SUMIFS('TIME REPORT'!$N$6:$N$37,'TIME REPORT'!$A$6:$A$37,Y$4,'TIME REPORT'!$E$6:$E$37,$B14)+SUMIFS('TIME REPORT'!$P$6:$P$37,'TIME REPORT'!$A$6:$A$37,Y$4,'TIME REPORT'!$E$6:$E$37,$B14)/60)</f>
        <v/>
      </c>
      <c r="Z14" s="85" t="str">
        <f ca="1">IF($B14="","",SUMIFS('TIME REPORT'!$N$6:$N$37,'TIME REPORT'!$A$6:$A$37,Z$4,'TIME REPORT'!$E$6:$E$37,$B14)+SUMIFS('TIME REPORT'!$P$6:$P$37,'TIME REPORT'!$A$6:$A$37,Z$4,'TIME REPORT'!$E$6:$E$37,$B14)/60)</f>
        <v/>
      </c>
      <c r="AA14" s="85" t="str">
        <f ca="1">IF($B14="","",SUMIFS('TIME REPORT'!$N$6:$N$37,'TIME REPORT'!$A$6:$A$37,AA$4,'TIME REPORT'!$E$6:$E$37,$B14)+SUMIFS('TIME REPORT'!$P$6:$P$37,'TIME REPORT'!$A$6:$A$37,AA$4,'TIME REPORT'!$E$6:$E$37,$B14)/60)</f>
        <v/>
      </c>
      <c r="AB14" s="85" t="str">
        <f ca="1">IF($B14="","",SUMIFS('TIME REPORT'!$N$6:$N$37,'TIME REPORT'!$A$6:$A$37,AB$4,'TIME REPORT'!$E$6:$E$37,$B14)+SUMIFS('TIME REPORT'!$P$6:$P$37,'TIME REPORT'!$A$6:$A$37,AB$4,'TIME REPORT'!$E$6:$E$37,$B14)/60)</f>
        <v/>
      </c>
      <c r="AC14" s="85" t="str">
        <f ca="1">IF($B14="","",SUMIFS('TIME REPORT'!$N$6:$N$37,'TIME REPORT'!$A$6:$A$37,AC$4,'TIME REPORT'!$E$6:$E$37,$B14)+SUMIFS('TIME REPORT'!$P$6:$P$37,'TIME REPORT'!$A$6:$A$37,AC$4,'TIME REPORT'!$E$6:$E$37,$B14)/60)</f>
        <v/>
      </c>
      <c r="AD14" s="85" t="str">
        <f ca="1">IF($B14="","",SUMIFS('TIME REPORT'!$N$6:$N$37,'TIME REPORT'!$A$6:$A$37,AD$4,'TIME REPORT'!$E$6:$E$37,$B14)+SUMIFS('TIME REPORT'!$P$6:$P$37,'TIME REPORT'!$A$6:$A$37,AD$4,'TIME REPORT'!$E$6:$E$37,$B14)/60)</f>
        <v/>
      </c>
      <c r="AE14" s="85" t="str">
        <f ca="1">IF($B14="","",SUMIFS('TIME REPORT'!$N$6:$N$37,'TIME REPORT'!$A$6:$A$37,AE$4,'TIME REPORT'!$E$6:$E$37,$B14)+SUMIFS('TIME REPORT'!$P$6:$P$37,'TIME REPORT'!$A$6:$A$37,AE$4,'TIME REPORT'!$E$6:$E$37,$B14)/60)</f>
        <v/>
      </c>
      <c r="AF14" s="85" t="str">
        <f ca="1">IF($B14="","",SUMIFS('TIME REPORT'!$N$6:$N$37,'TIME REPORT'!$A$6:$A$37,AF$4,'TIME REPORT'!$E$6:$E$37,$B14)+SUMIFS('TIME REPORT'!$P$6:$P$37,'TIME REPORT'!$A$6:$A$37,AF$4,'TIME REPORT'!$E$6:$E$37,$B14)/60)</f>
        <v/>
      </c>
      <c r="AG14" s="85" t="str">
        <f ca="1">IF($B14="","",SUMIFS('TIME REPORT'!$N$6:$N$37,'TIME REPORT'!$A$6:$A$37,AG$4,'TIME REPORT'!$E$6:$E$37,$B14)+SUMIFS('TIME REPORT'!$P$6:$P$37,'TIME REPORT'!$A$6:$A$37,AG$4,'TIME REPORT'!$E$6:$E$37,$B14)/60)</f>
        <v/>
      </c>
      <c r="AH14" s="85" t="str">
        <f ca="1">IF($B14="","",SUMIFS('TIME REPORT'!$N$6:$N$37,'TIME REPORT'!$A$6:$A$37,AH$4,'TIME REPORT'!$E$6:$E$37,$B14)+SUMIFS('TIME REPORT'!$P$6:$P$37,'TIME REPORT'!$A$6:$A$37,AH$4,'TIME REPORT'!$E$6:$E$37,$B14)/60)</f>
        <v/>
      </c>
      <c r="AI14" s="85" t="str">
        <f ca="1">IF($B14="","",SUMIFS('TIME REPORT'!$N$6:$N$37,'TIME REPORT'!$A$6:$A$37,AI$4,'TIME REPORT'!$E$6:$E$37,$B14)+SUMIFS('TIME REPORT'!$P$6:$P$37,'TIME REPORT'!$A$6:$A$37,AI$4,'TIME REPORT'!$E$6:$E$37,$B14)/60)</f>
        <v/>
      </c>
      <c r="AJ14" s="85" t="str">
        <f ca="1">IF($B14="","",SUMIFS('TIME REPORT'!$N$6:$N$37,'TIME REPORT'!$A$6:$A$37,AJ$4,'TIME REPORT'!$E$6:$E$37,$B14)+SUMIFS('TIME REPORT'!$P$6:$P$37,'TIME REPORT'!$A$6:$A$37,AJ$4,'TIME REPORT'!$E$6:$E$37,$B14)/60)</f>
        <v/>
      </c>
      <c r="AK14" s="85" t="str">
        <f ca="1">IF($B14="","",SUMIFS('TIME REPORT'!$N$6:$N$37,'TIME REPORT'!$A$6:$A$37,AK$4,'TIME REPORT'!$E$6:$E$37,$B14)+SUMIFS('TIME REPORT'!$P$6:$P$37,'TIME REPORT'!$A$6:$A$37,AK$4,'TIME REPORT'!$E$6:$E$37,$B14)/60)</f>
        <v/>
      </c>
      <c r="AL14" s="86">
        <f t="shared" ca="1" si="0"/>
        <v>0</v>
      </c>
      <c r="AM14" s="38"/>
      <c r="AN14" s="38"/>
      <c r="AO14" s="38"/>
      <c r="AP14" s="23"/>
      <c r="AQ14" s="23"/>
      <c r="AR14" s="23"/>
      <c r="AS14"/>
      <c r="AT14"/>
      <c r="AU14"/>
      <c r="AV14"/>
      <c r="AW14"/>
      <c r="AX14"/>
      <c r="AY14"/>
      <c r="AZ14"/>
      <c r="BA14"/>
    </row>
    <row r="15" spans="1:53" hidden="1">
      <c r="A15" s="33">
        <v>10</v>
      </c>
      <c r="B15" s="112" t="str" cm="1">
        <f t="array" aca="1" ref="B15" ca="1">IFERROR(INDEX(_xlfn._xlws.FILTER(ClientCodeList,COUNTIF('TIME REPORT'!$E$6:$E$37,ClientCodeList)&gt;0),ROWS($B$6:B15)),"")</f>
        <v/>
      </c>
      <c r="C15" s="159"/>
      <c r="D15" s="88" t="str" cm="1">
        <f t="array" aca="1" ref="D15" ca="1">IF($B15="","",IFERROR(INDEX('TIME REPORT'!$H$6:$H$37,MATCH(1,('TIME REPORT'!$E$6:$E$37=$B15)*('TIME REPORT'!$H$6:$H$37&lt;&gt;""),0)),""))</f>
        <v/>
      </c>
      <c r="E15" s="113"/>
      <c r="F15" s="114"/>
      <c r="G15" s="85" t="str">
        <f ca="1">IF($B15="","",SUMIFS('TIME REPORT'!$N$6:$N$37,'TIME REPORT'!$A$6:$A$37,G$4,'TIME REPORT'!$E$6:$E$37,$B15)+SUMIFS('TIME REPORT'!$P$6:$P$37,'TIME REPORT'!$A$6:$A$37,G$4,'TIME REPORT'!$E$6:$E$37,$B15)/60)</f>
        <v/>
      </c>
      <c r="H15" s="85" t="str">
        <f ca="1">IF($B15="","",SUMIFS('TIME REPORT'!$N$6:$N$37,'TIME REPORT'!$A$6:$A$37,H$4,'TIME REPORT'!$E$6:$E$37,$B15)+SUMIFS('TIME REPORT'!$P$6:$P$37,'TIME REPORT'!$A$6:$A$37,H$4,'TIME REPORT'!$E$6:$E$37,$B15)/60)</f>
        <v/>
      </c>
      <c r="I15" s="85" t="str">
        <f ca="1">IF($B15="","",SUMIFS('TIME REPORT'!$N$6:$N$37,'TIME REPORT'!$A$6:$A$37,I$4,'TIME REPORT'!$E$6:$E$37,$B15)+SUMIFS('TIME REPORT'!$P$6:$P$37,'TIME REPORT'!$A$6:$A$37,I$4,'TIME REPORT'!$E$6:$E$37,$B15)/60)</f>
        <v/>
      </c>
      <c r="J15" s="85" t="str">
        <f ca="1">IF($B15="","",SUMIFS('TIME REPORT'!$N$6:$N$37,'TIME REPORT'!$A$6:$A$37,J$4,'TIME REPORT'!$E$6:$E$37,$B15)+SUMIFS('TIME REPORT'!$P$6:$P$37,'TIME REPORT'!$A$6:$A$37,J$4,'TIME REPORT'!$E$6:$E$37,$B15)/60)</f>
        <v/>
      </c>
      <c r="K15" s="85" t="str">
        <f ca="1">IF($B15="","",SUMIFS('TIME REPORT'!$N$6:$N$37,'TIME REPORT'!$A$6:$A$37,K$4,'TIME REPORT'!$E$6:$E$37,$B15)+SUMIFS('TIME REPORT'!$P$6:$P$37,'TIME REPORT'!$A$6:$A$37,K$4,'TIME REPORT'!$E$6:$E$37,$B15)/60)</f>
        <v/>
      </c>
      <c r="L15" s="85" t="str">
        <f ca="1">IF($B15="","",SUMIFS('TIME REPORT'!$N$6:$N$37,'TIME REPORT'!$A$6:$A$37,L$4,'TIME REPORT'!$E$6:$E$37,$B15)+SUMIFS('TIME REPORT'!$P$6:$P$37,'TIME REPORT'!$A$6:$A$37,L$4,'TIME REPORT'!$E$6:$E$37,$B15)/60)</f>
        <v/>
      </c>
      <c r="M15" s="85" t="str">
        <f ca="1">IF($B15="","",SUMIFS('TIME REPORT'!$N$6:$N$37,'TIME REPORT'!$A$6:$A$37,M$4,'TIME REPORT'!$E$6:$E$37,$B15)+SUMIFS('TIME REPORT'!$P$6:$P$37,'TIME REPORT'!$A$6:$A$37,M$4,'TIME REPORT'!$E$6:$E$37,$B15)/60)</f>
        <v/>
      </c>
      <c r="N15" s="85" t="str">
        <f ca="1">IF($B15="","",SUMIFS('TIME REPORT'!$N$6:$N$37,'TIME REPORT'!$A$6:$A$37,N$4,'TIME REPORT'!$E$6:$E$37,$B15)+SUMIFS('TIME REPORT'!$P$6:$P$37,'TIME REPORT'!$A$6:$A$37,N$4,'TIME REPORT'!$E$6:$E$37,$B15)/60)</f>
        <v/>
      </c>
      <c r="O15" s="85" t="str">
        <f ca="1">IF($B15="","",SUMIFS('TIME REPORT'!$N$6:$N$37,'TIME REPORT'!$A$6:$A$37,O$4,'TIME REPORT'!$E$6:$E$37,$B15)+SUMIFS('TIME REPORT'!$P$6:$P$37,'TIME REPORT'!$A$6:$A$37,O$4,'TIME REPORT'!$E$6:$E$37,$B15)/60)</f>
        <v/>
      </c>
      <c r="P15" s="85" t="str">
        <f ca="1">IF($B15="","",SUMIFS('TIME REPORT'!$N$6:$N$37,'TIME REPORT'!$A$6:$A$37,P$4,'TIME REPORT'!$E$6:$E$37,$B15)+SUMIFS('TIME REPORT'!$P$6:$P$37,'TIME REPORT'!$A$6:$A$37,P$4,'TIME REPORT'!$E$6:$E$37,$B15)/60)</f>
        <v/>
      </c>
      <c r="Q15" s="85" t="str">
        <f ca="1">IF($B15="","",SUMIFS('TIME REPORT'!$N$6:$N$37,'TIME REPORT'!$A$6:$A$37,Q$4,'TIME REPORT'!$E$6:$E$37,$B15)+SUMIFS('TIME REPORT'!$P$6:$P$37,'TIME REPORT'!$A$6:$A$37,Q$4,'TIME REPORT'!$E$6:$E$37,$B15)/60)</f>
        <v/>
      </c>
      <c r="R15" s="85" t="str">
        <f ca="1">IF($B15="","",SUMIFS('TIME REPORT'!$N$6:$N$37,'TIME REPORT'!$A$6:$A$37,R$4,'TIME REPORT'!$E$6:$E$37,$B15)+SUMIFS('TIME REPORT'!$P$6:$P$37,'TIME REPORT'!$A$6:$A$37,R$4,'TIME REPORT'!$E$6:$E$37,$B15)/60)</f>
        <v/>
      </c>
      <c r="S15" s="85" t="str">
        <f ca="1">IF($B15="","",SUMIFS('TIME REPORT'!$N$6:$N$37,'TIME REPORT'!$A$6:$A$37,S$4,'TIME REPORT'!$E$6:$E$37,$B15)+SUMIFS('TIME REPORT'!$P$6:$P$37,'TIME REPORT'!$A$6:$A$37,S$4,'TIME REPORT'!$E$6:$E$37,$B15)/60)</f>
        <v/>
      </c>
      <c r="T15" s="85" t="str">
        <f ca="1">IF($B15="","",SUMIFS('TIME REPORT'!$N$6:$N$37,'TIME REPORT'!$A$6:$A$37,T$4,'TIME REPORT'!$E$6:$E$37,$B15)+SUMIFS('TIME REPORT'!$P$6:$P$37,'TIME REPORT'!$A$6:$A$37,T$4,'TIME REPORT'!$E$6:$E$37,$B15)/60)</f>
        <v/>
      </c>
      <c r="U15" s="85" t="str">
        <f ca="1">IF($B15="","",SUMIFS('TIME REPORT'!$N$6:$N$37,'TIME REPORT'!$A$6:$A$37,U$4,'TIME REPORT'!$E$6:$E$37,$B15)+SUMIFS('TIME REPORT'!$P$6:$P$37,'TIME REPORT'!$A$6:$A$37,U$4,'TIME REPORT'!$E$6:$E$37,$B15)/60)</f>
        <v/>
      </c>
      <c r="V15" s="85" t="str">
        <f ca="1">IF($B15="","",SUMIFS('TIME REPORT'!$N$6:$N$37,'TIME REPORT'!$A$6:$A$37,V$4,'TIME REPORT'!$E$6:$E$37,$B15)+SUMIFS('TIME REPORT'!$P$6:$P$37,'TIME REPORT'!$A$6:$A$37,V$4,'TIME REPORT'!$E$6:$E$37,$B15)/60)</f>
        <v/>
      </c>
      <c r="W15" s="85" t="str">
        <f ca="1">IF($B15="","",SUMIFS('TIME REPORT'!$N$6:$N$37,'TIME REPORT'!$A$6:$A$37,W$4,'TIME REPORT'!$E$6:$E$37,$B15)+SUMIFS('TIME REPORT'!$P$6:$P$37,'TIME REPORT'!$A$6:$A$37,W$4,'TIME REPORT'!$E$6:$E$37,$B15)/60)</f>
        <v/>
      </c>
      <c r="X15" s="85" t="str">
        <f ca="1">IF($B15="","",SUMIFS('TIME REPORT'!$N$6:$N$37,'TIME REPORT'!$A$6:$A$37,X$4,'TIME REPORT'!$E$6:$E$37,$B15)+SUMIFS('TIME REPORT'!$P$6:$P$37,'TIME REPORT'!$A$6:$A$37,X$4,'TIME REPORT'!$E$6:$E$37,$B15)/60)</f>
        <v/>
      </c>
      <c r="Y15" s="85" t="str">
        <f ca="1">IF($B15="","",SUMIFS('TIME REPORT'!$N$6:$N$37,'TIME REPORT'!$A$6:$A$37,Y$4,'TIME REPORT'!$E$6:$E$37,$B15)+SUMIFS('TIME REPORT'!$P$6:$P$37,'TIME REPORT'!$A$6:$A$37,Y$4,'TIME REPORT'!$E$6:$E$37,$B15)/60)</f>
        <v/>
      </c>
      <c r="Z15" s="85" t="str">
        <f ca="1">IF($B15="","",SUMIFS('TIME REPORT'!$N$6:$N$37,'TIME REPORT'!$A$6:$A$37,Z$4,'TIME REPORT'!$E$6:$E$37,$B15)+SUMIFS('TIME REPORT'!$P$6:$P$37,'TIME REPORT'!$A$6:$A$37,Z$4,'TIME REPORT'!$E$6:$E$37,$B15)/60)</f>
        <v/>
      </c>
      <c r="AA15" s="85" t="str">
        <f ca="1">IF($B15="","",SUMIFS('TIME REPORT'!$N$6:$N$37,'TIME REPORT'!$A$6:$A$37,AA$4,'TIME REPORT'!$E$6:$E$37,$B15)+SUMIFS('TIME REPORT'!$P$6:$P$37,'TIME REPORT'!$A$6:$A$37,AA$4,'TIME REPORT'!$E$6:$E$37,$B15)/60)</f>
        <v/>
      </c>
      <c r="AB15" s="85" t="str">
        <f ca="1">IF($B15="","",SUMIFS('TIME REPORT'!$N$6:$N$37,'TIME REPORT'!$A$6:$A$37,AB$4,'TIME REPORT'!$E$6:$E$37,$B15)+SUMIFS('TIME REPORT'!$P$6:$P$37,'TIME REPORT'!$A$6:$A$37,AB$4,'TIME REPORT'!$E$6:$E$37,$B15)/60)</f>
        <v/>
      </c>
      <c r="AC15" s="85" t="str">
        <f ca="1">IF($B15="","",SUMIFS('TIME REPORT'!$N$6:$N$37,'TIME REPORT'!$A$6:$A$37,AC$4,'TIME REPORT'!$E$6:$E$37,$B15)+SUMIFS('TIME REPORT'!$P$6:$P$37,'TIME REPORT'!$A$6:$A$37,AC$4,'TIME REPORT'!$E$6:$E$37,$B15)/60)</f>
        <v/>
      </c>
      <c r="AD15" s="85" t="str">
        <f ca="1">IF($B15="","",SUMIFS('TIME REPORT'!$N$6:$N$37,'TIME REPORT'!$A$6:$A$37,AD$4,'TIME REPORT'!$E$6:$E$37,$B15)+SUMIFS('TIME REPORT'!$P$6:$P$37,'TIME REPORT'!$A$6:$A$37,AD$4,'TIME REPORT'!$E$6:$E$37,$B15)/60)</f>
        <v/>
      </c>
      <c r="AE15" s="85" t="str">
        <f ca="1">IF($B15="","",SUMIFS('TIME REPORT'!$N$6:$N$37,'TIME REPORT'!$A$6:$A$37,AE$4,'TIME REPORT'!$E$6:$E$37,$B15)+SUMIFS('TIME REPORT'!$P$6:$P$37,'TIME REPORT'!$A$6:$A$37,AE$4,'TIME REPORT'!$E$6:$E$37,$B15)/60)</f>
        <v/>
      </c>
      <c r="AF15" s="85" t="str">
        <f ca="1">IF($B15="","",SUMIFS('TIME REPORT'!$N$6:$N$37,'TIME REPORT'!$A$6:$A$37,AF$4,'TIME REPORT'!$E$6:$E$37,$B15)+SUMIFS('TIME REPORT'!$P$6:$P$37,'TIME REPORT'!$A$6:$A$37,AF$4,'TIME REPORT'!$E$6:$E$37,$B15)/60)</f>
        <v/>
      </c>
      <c r="AG15" s="85" t="str">
        <f ca="1">IF($B15="","",SUMIFS('TIME REPORT'!$N$6:$N$37,'TIME REPORT'!$A$6:$A$37,AG$4,'TIME REPORT'!$E$6:$E$37,$B15)+SUMIFS('TIME REPORT'!$P$6:$P$37,'TIME REPORT'!$A$6:$A$37,AG$4,'TIME REPORT'!$E$6:$E$37,$B15)/60)</f>
        <v/>
      </c>
      <c r="AH15" s="85" t="str">
        <f ca="1">IF($B15="","",SUMIFS('TIME REPORT'!$N$6:$N$37,'TIME REPORT'!$A$6:$A$37,AH$4,'TIME REPORT'!$E$6:$E$37,$B15)+SUMIFS('TIME REPORT'!$P$6:$P$37,'TIME REPORT'!$A$6:$A$37,AH$4,'TIME REPORT'!$E$6:$E$37,$B15)/60)</f>
        <v/>
      </c>
      <c r="AI15" s="85" t="str">
        <f ca="1">IF($B15="","",SUMIFS('TIME REPORT'!$N$6:$N$37,'TIME REPORT'!$A$6:$A$37,AI$4,'TIME REPORT'!$E$6:$E$37,$B15)+SUMIFS('TIME REPORT'!$P$6:$P$37,'TIME REPORT'!$A$6:$A$37,AI$4,'TIME REPORT'!$E$6:$E$37,$B15)/60)</f>
        <v/>
      </c>
      <c r="AJ15" s="85" t="str">
        <f ca="1">IF($B15="","",SUMIFS('TIME REPORT'!$N$6:$N$37,'TIME REPORT'!$A$6:$A$37,AJ$4,'TIME REPORT'!$E$6:$E$37,$B15)+SUMIFS('TIME REPORT'!$P$6:$P$37,'TIME REPORT'!$A$6:$A$37,AJ$4,'TIME REPORT'!$E$6:$E$37,$B15)/60)</f>
        <v/>
      </c>
      <c r="AK15" s="85" t="str">
        <f ca="1">IF($B15="","",SUMIFS('TIME REPORT'!$N$6:$N$37,'TIME REPORT'!$A$6:$A$37,AK$4,'TIME REPORT'!$E$6:$E$37,$B15)+SUMIFS('TIME REPORT'!$P$6:$P$37,'TIME REPORT'!$A$6:$A$37,AK$4,'TIME REPORT'!$E$6:$E$37,$B15)/60)</f>
        <v/>
      </c>
      <c r="AL15" s="86">
        <f t="shared" ca="1" si="0"/>
        <v>0</v>
      </c>
      <c r="AM15" s="38"/>
      <c r="AN15" s="38"/>
      <c r="AO15" s="38"/>
      <c r="AP15" s="23"/>
      <c r="AQ15" s="23"/>
      <c r="AR15" s="23"/>
      <c r="AS15"/>
      <c r="AT15"/>
      <c r="AU15"/>
      <c r="AV15"/>
      <c r="AW15"/>
      <c r="AX15"/>
      <c r="AY15"/>
      <c r="AZ15"/>
      <c r="BA15"/>
    </row>
    <row r="16" spans="1:53" hidden="1">
      <c r="A16" s="33">
        <v>11</v>
      </c>
      <c r="B16" s="160" t="str" cm="1">
        <f t="array" aca="1" ref="B16" ca="1">IFERROR(INDEX(_xlfn._xlws.FILTER(ClientCodeList,COUNTIF('TIME REPORT'!$E$6:$E$37,ClientCodeList)&gt;0),ROWS($B$6:B16)),"")</f>
        <v/>
      </c>
      <c r="C16" s="113"/>
      <c r="D16" s="88" t="str" cm="1">
        <f t="array" aca="1" ref="D16" ca="1">IF($B16="","",IFERROR(INDEX('TIME REPORT'!$H$6:$H$37,MATCH(1,('TIME REPORT'!$E$6:$E$37=$B16)*('TIME REPORT'!$H$6:$H$37&lt;&gt;""),0)),""))</f>
        <v/>
      </c>
      <c r="E16" s="113"/>
      <c r="F16" s="114"/>
      <c r="G16" s="85" t="str">
        <f ca="1">IF($B16="","",SUMIFS('TIME REPORT'!$N$6:$N$37,'TIME REPORT'!$A$6:$A$37,G$4,'TIME REPORT'!$E$6:$E$37,$B16)+SUMIFS('TIME REPORT'!$P$6:$P$37,'TIME REPORT'!$A$6:$A$37,G$4,'TIME REPORT'!$E$6:$E$37,$B16)/60)</f>
        <v/>
      </c>
      <c r="H16" s="85" t="str">
        <f ca="1">IF($B16="","",SUMIFS('TIME REPORT'!$N$6:$N$37,'TIME REPORT'!$A$6:$A$37,H$4,'TIME REPORT'!$E$6:$E$37,$B16)+SUMIFS('TIME REPORT'!$P$6:$P$37,'TIME REPORT'!$A$6:$A$37,H$4,'TIME REPORT'!$E$6:$E$37,$B16)/60)</f>
        <v/>
      </c>
      <c r="I16" s="85" t="str">
        <f ca="1">IF($B16="","",SUMIFS('TIME REPORT'!$N$6:$N$37,'TIME REPORT'!$A$6:$A$37,I$4,'TIME REPORT'!$E$6:$E$37,$B16)+SUMIFS('TIME REPORT'!$P$6:$P$37,'TIME REPORT'!$A$6:$A$37,I$4,'TIME REPORT'!$E$6:$E$37,$B16)/60)</f>
        <v/>
      </c>
      <c r="J16" s="85" t="str">
        <f ca="1">IF($B16="","",SUMIFS('TIME REPORT'!$N$6:$N$37,'TIME REPORT'!$A$6:$A$37,J$4,'TIME REPORT'!$E$6:$E$37,$B16)+SUMIFS('TIME REPORT'!$P$6:$P$37,'TIME REPORT'!$A$6:$A$37,J$4,'TIME REPORT'!$E$6:$E$37,$B16)/60)</f>
        <v/>
      </c>
      <c r="K16" s="85" t="str">
        <f ca="1">IF($B16="","",SUMIFS('TIME REPORT'!$N$6:$N$37,'TIME REPORT'!$A$6:$A$37,K$4,'TIME REPORT'!$E$6:$E$37,$B16)+SUMIFS('TIME REPORT'!$P$6:$P$37,'TIME REPORT'!$A$6:$A$37,K$4,'TIME REPORT'!$E$6:$E$37,$B16)/60)</f>
        <v/>
      </c>
      <c r="L16" s="85" t="str">
        <f ca="1">IF($B16="","",SUMIFS('TIME REPORT'!$N$6:$N$37,'TIME REPORT'!$A$6:$A$37,L$4,'TIME REPORT'!$E$6:$E$37,$B16)+SUMIFS('TIME REPORT'!$P$6:$P$37,'TIME REPORT'!$A$6:$A$37,L$4,'TIME REPORT'!$E$6:$E$37,$B16)/60)</f>
        <v/>
      </c>
      <c r="M16" s="85" t="str">
        <f ca="1">IF($B16="","",SUMIFS('TIME REPORT'!$N$6:$N$37,'TIME REPORT'!$A$6:$A$37,M$4,'TIME REPORT'!$E$6:$E$37,$B16)+SUMIFS('TIME REPORT'!$P$6:$P$37,'TIME REPORT'!$A$6:$A$37,M$4,'TIME REPORT'!$E$6:$E$37,$B16)/60)</f>
        <v/>
      </c>
      <c r="N16" s="85" t="str">
        <f ca="1">IF($B16="","",SUMIFS('TIME REPORT'!$N$6:$N$37,'TIME REPORT'!$A$6:$A$37,N$4,'TIME REPORT'!$E$6:$E$37,$B16)+SUMIFS('TIME REPORT'!$P$6:$P$37,'TIME REPORT'!$A$6:$A$37,N$4,'TIME REPORT'!$E$6:$E$37,$B16)/60)</f>
        <v/>
      </c>
      <c r="O16" s="85" t="str">
        <f ca="1">IF($B16="","",SUMIFS('TIME REPORT'!$N$6:$N$37,'TIME REPORT'!$A$6:$A$37,O$4,'TIME REPORT'!$E$6:$E$37,$B16)+SUMIFS('TIME REPORT'!$P$6:$P$37,'TIME REPORT'!$A$6:$A$37,O$4,'TIME REPORT'!$E$6:$E$37,$B16)/60)</f>
        <v/>
      </c>
      <c r="P16" s="85" t="str">
        <f ca="1">IF($B16="","",SUMIFS('TIME REPORT'!$N$6:$N$37,'TIME REPORT'!$A$6:$A$37,P$4,'TIME REPORT'!$E$6:$E$37,$B16)+SUMIFS('TIME REPORT'!$P$6:$P$37,'TIME REPORT'!$A$6:$A$37,P$4,'TIME REPORT'!$E$6:$E$37,$B16)/60)</f>
        <v/>
      </c>
      <c r="Q16" s="85" t="str">
        <f ca="1">IF($B16="","",SUMIFS('TIME REPORT'!$N$6:$N$37,'TIME REPORT'!$A$6:$A$37,Q$4,'TIME REPORT'!$E$6:$E$37,$B16)+SUMIFS('TIME REPORT'!$P$6:$P$37,'TIME REPORT'!$A$6:$A$37,Q$4,'TIME REPORT'!$E$6:$E$37,$B16)/60)</f>
        <v/>
      </c>
      <c r="R16" s="85" t="str">
        <f ca="1">IF($B16="","",SUMIFS('TIME REPORT'!$N$6:$N$37,'TIME REPORT'!$A$6:$A$37,R$4,'TIME REPORT'!$E$6:$E$37,$B16)+SUMIFS('TIME REPORT'!$P$6:$P$37,'TIME REPORT'!$A$6:$A$37,R$4,'TIME REPORT'!$E$6:$E$37,$B16)/60)</f>
        <v/>
      </c>
      <c r="S16" s="85" t="str">
        <f ca="1">IF($B16="","",SUMIFS('TIME REPORT'!$N$6:$N$37,'TIME REPORT'!$A$6:$A$37,S$4,'TIME REPORT'!$E$6:$E$37,$B16)+SUMIFS('TIME REPORT'!$P$6:$P$37,'TIME REPORT'!$A$6:$A$37,S$4,'TIME REPORT'!$E$6:$E$37,$B16)/60)</f>
        <v/>
      </c>
      <c r="T16" s="85" t="str">
        <f ca="1">IF($B16="","",SUMIFS('TIME REPORT'!$N$6:$N$37,'TIME REPORT'!$A$6:$A$37,T$4,'TIME REPORT'!$E$6:$E$37,$B16)+SUMIFS('TIME REPORT'!$P$6:$P$37,'TIME REPORT'!$A$6:$A$37,T$4,'TIME REPORT'!$E$6:$E$37,$B16)/60)</f>
        <v/>
      </c>
      <c r="U16" s="85" t="str">
        <f ca="1">IF($B16="","",SUMIFS('TIME REPORT'!$N$6:$N$37,'TIME REPORT'!$A$6:$A$37,U$4,'TIME REPORT'!$E$6:$E$37,$B16)+SUMIFS('TIME REPORT'!$P$6:$P$37,'TIME REPORT'!$A$6:$A$37,U$4,'TIME REPORT'!$E$6:$E$37,$B16)/60)</f>
        <v/>
      </c>
      <c r="V16" s="85" t="str">
        <f ca="1">IF($B16="","",SUMIFS('TIME REPORT'!$N$6:$N$37,'TIME REPORT'!$A$6:$A$37,V$4,'TIME REPORT'!$E$6:$E$37,$B16)+SUMIFS('TIME REPORT'!$P$6:$P$37,'TIME REPORT'!$A$6:$A$37,V$4,'TIME REPORT'!$E$6:$E$37,$B16)/60)</f>
        <v/>
      </c>
      <c r="W16" s="85" t="str">
        <f ca="1">IF($B16="","",SUMIFS('TIME REPORT'!$N$6:$N$37,'TIME REPORT'!$A$6:$A$37,W$4,'TIME REPORT'!$E$6:$E$37,$B16)+SUMIFS('TIME REPORT'!$P$6:$P$37,'TIME REPORT'!$A$6:$A$37,W$4,'TIME REPORT'!$E$6:$E$37,$B16)/60)</f>
        <v/>
      </c>
      <c r="X16" s="85" t="str">
        <f ca="1">IF($B16="","",SUMIFS('TIME REPORT'!$N$6:$N$37,'TIME REPORT'!$A$6:$A$37,X$4,'TIME REPORT'!$E$6:$E$37,$B16)+SUMIFS('TIME REPORT'!$P$6:$P$37,'TIME REPORT'!$A$6:$A$37,X$4,'TIME REPORT'!$E$6:$E$37,$B16)/60)</f>
        <v/>
      </c>
      <c r="Y16" s="85" t="str">
        <f ca="1">IF($B16="","",SUMIFS('TIME REPORT'!$N$6:$N$37,'TIME REPORT'!$A$6:$A$37,Y$4,'TIME REPORT'!$E$6:$E$37,$B16)+SUMIFS('TIME REPORT'!$P$6:$P$37,'TIME REPORT'!$A$6:$A$37,Y$4,'TIME REPORT'!$E$6:$E$37,$B16)/60)</f>
        <v/>
      </c>
      <c r="Z16" s="85" t="str">
        <f ca="1">IF($B16="","",SUMIFS('TIME REPORT'!$N$6:$N$37,'TIME REPORT'!$A$6:$A$37,Z$4,'TIME REPORT'!$E$6:$E$37,$B16)+SUMIFS('TIME REPORT'!$P$6:$P$37,'TIME REPORT'!$A$6:$A$37,Z$4,'TIME REPORT'!$E$6:$E$37,$B16)/60)</f>
        <v/>
      </c>
      <c r="AA16" s="85" t="str">
        <f ca="1">IF($B16="","",SUMIFS('TIME REPORT'!$N$6:$N$37,'TIME REPORT'!$A$6:$A$37,AA$4,'TIME REPORT'!$E$6:$E$37,$B16)+SUMIFS('TIME REPORT'!$P$6:$P$37,'TIME REPORT'!$A$6:$A$37,AA$4,'TIME REPORT'!$E$6:$E$37,$B16)/60)</f>
        <v/>
      </c>
      <c r="AB16" s="85" t="str">
        <f ca="1">IF($B16="","",SUMIFS('TIME REPORT'!$N$6:$N$37,'TIME REPORT'!$A$6:$A$37,AB$4,'TIME REPORT'!$E$6:$E$37,$B16)+SUMIFS('TIME REPORT'!$P$6:$P$37,'TIME REPORT'!$A$6:$A$37,AB$4,'TIME REPORT'!$E$6:$E$37,$B16)/60)</f>
        <v/>
      </c>
      <c r="AC16" s="85" t="str">
        <f ca="1">IF($B16="","",SUMIFS('TIME REPORT'!$N$6:$N$37,'TIME REPORT'!$A$6:$A$37,AC$4,'TIME REPORT'!$E$6:$E$37,$B16)+SUMIFS('TIME REPORT'!$P$6:$P$37,'TIME REPORT'!$A$6:$A$37,AC$4,'TIME REPORT'!$E$6:$E$37,$B16)/60)</f>
        <v/>
      </c>
      <c r="AD16" s="85" t="str">
        <f ca="1">IF($B16="","",SUMIFS('TIME REPORT'!$N$6:$N$37,'TIME REPORT'!$A$6:$A$37,AD$4,'TIME REPORT'!$E$6:$E$37,$B16)+SUMIFS('TIME REPORT'!$P$6:$P$37,'TIME REPORT'!$A$6:$A$37,AD$4,'TIME REPORT'!$E$6:$E$37,$B16)/60)</f>
        <v/>
      </c>
      <c r="AE16" s="85" t="str">
        <f ca="1">IF($B16="","",SUMIFS('TIME REPORT'!$N$6:$N$37,'TIME REPORT'!$A$6:$A$37,AE$4,'TIME REPORT'!$E$6:$E$37,$B16)+SUMIFS('TIME REPORT'!$P$6:$P$37,'TIME REPORT'!$A$6:$A$37,AE$4,'TIME REPORT'!$E$6:$E$37,$B16)/60)</f>
        <v/>
      </c>
      <c r="AF16" s="85" t="str">
        <f ca="1">IF($B16="","",SUMIFS('TIME REPORT'!$N$6:$N$37,'TIME REPORT'!$A$6:$A$37,AF$4,'TIME REPORT'!$E$6:$E$37,$B16)+SUMIFS('TIME REPORT'!$P$6:$P$37,'TIME REPORT'!$A$6:$A$37,AF$4,'TIME REPORT'!$E$6:$E$37,$B16)/60)</f>
        <v/>
      </c>
      <c r="AG16" s="85" t="str">
        <f ca="1">IF($B16="","",SUMIFS('TIME REPORT'!$N$6:$N$37,'TIME REPORT'!$A$6:$A$37,AG$4,'TIME REPORT'!$E$6:$E$37,$B16)+SUMIFS('TIME REPORT'!$P$6:$P$37,'TIME REPORT'!$A$6:$A$37,AG$4,'TIME REPORT'!$E$6:$E$37,$B16)/60)</f>
        <v/>
      </c>
      <c r="AH16" s="85" t="str">
        <f ca="1">IF($B16="","",SUMIFS('TIME REPORT'!$N$6:$N$37,'TIME REPORT'!$A$6:$A$37,AH$4,'TIME REPORT'!$E$6:$E$37,$B16)+SUMIFS('TIME REPORT'!$P$6:$P$37,'TIME REPORT'!$A$6:$A$37,AH$4,'TIME REPORT'!$E$6:$E$37,$B16)/60)</f>
        <v/>
      </c>
      <c r="AI16" s="85" t="str">
        <f ca="1">IF($B16="","",SUMIFS('TIME REPORT'!$N$6:$N$37,'TIME REPORT'!$A$6:$A$37,AI$4,'TIME REPORT'!$E$6:$E$37,$B16)+SUMIFS('TIME REPORT'!$P$6:$P$37,'TIME REPORT'!$A$6:$A$37,AI$4,'TIME REPORT'!$E$6:$E$37,$B16)/60)</f>
        <v/>
      </c>
      <c r="AJ16" s="85" t="str">
        <f ca="1">IF($B16="","",SUMIFS('TIME REPORT'!$N$6:$N$37,'TIME REPORT'!$A$6:$A$37,AJ$4,'TIME REPORT'!$E$6:$E$37,$B16)+SUMIFS('TIME REPORT'!$P$6:$P$37,'TIME REPORT'!$A$6:$A$37,AJ$4,'TIME REPORT'!$E$6:$E$37,$B16)/60)</f>
        <v/>
      </c>
      <c r="AK16" s="85" t="str">
        <f ca="1">IF($B16="","",SUMIFS('TIME REPORT'!$N$6:$N$37,'TIME REPORT'!$A$6:$A$37,AK$4,'TIME REPORT'!$E$6:$E$37,$B16)+SUMIFS('TIME REPORT'!$P$6:$P$37,'TIME REPORT'!$A$6:$A$37,AK$4,'TIME REPORT'!$E$6:$E$37,$B16)/60)</f>
        <v/>
      </c>
      <c r="AL16" s="86">
        <f t="shared" ca="1" si="0"/>
        <v>0</v>
      </c>
      <c r="AM16" s="38"/>
      <c r="AN16" s="38"/>
      <c r="AO16" s="38"/>
      <c r="AP16" s="23"/>
      <c r="AQ16" s="23"/>
      <c r="AR16" s="23"/>
      <c r="AS16"/>
      <c r="AT16"/>
      <c r="AU16"/>
      <c r="AV16"/>
      <c r="AW16"/>
      <c r="AX16"/>
      <c r="AY16"/>
      <c r="AZ16"/>
      <c r="BA16"/>
    </row>
    <row r="17" spans="1:53" hidden="1">
      <c r="A17" s="33">
        <v>12</v>
      </c>
      <c r="B17" s="160" t="str" cm="1">
        <f t="array" aca="1" ref="B17" ca="1">IFERROR(INDEX(_xlfn._xlws.FILTER(ClientCodeList,COUNTIF('TIME REPORT'!$E$6:$E$37,ClientCodeList)&gt;0),ROWS($B$6:B17)),"")</f>
        <v/>
      </c>
      <c r="C17" s="113"/>
      <c r="D17" s="88" t="str" cm="1">
        <f t="array" aca="1" ref="D17" ca="1">IF($B17="","",IFERROR(INDEX('TIME REPORT'!$H$6:$H$37,MATCH(1,('TIME REPORT'!$E$6:$E$37=$B17)*('TIME REPORT'!$H$6:$H$37&lt;&gt;""),0)),""))</f>
        <v/>
      </c>
      <c r="E17" s="113"/>
      <c r="F17" s="114"/>
      <c r="G17" s="85" t="str">
        <f ca="1">IF($B17="","",SUMIFS('TIME REPORT'!$N$6:$N$37,'TIME REPORT'!$A$6:$A$37,G$4,'TIME REPORT'!$E$6:$E$37,$B17)+SUMIFS('TIME REPORT'!$P$6:$P$37,'TIME REPORT'!$A$6:$A$37,G$4,'TIME REPORT'!$E$6:$E$37,$B17)/60)</f>
        <v/>
      </c>
      <c r="H17" s="85" t="str">
        <f ca="1">IF($B17="","",SUMIFS('TIME REPORT'!$N$6:$N$37,'TIME REPORT'!$A$6:$A$37,H$4,'TIME REPORT'!$E$6:$E$37,$B17)+SUMIFS('TIME REPORT'!$P$6:$P$37,'TIME REPORT'!$A$6:$A$37,H$4,'TIME REPORT'!$E$6:$E$37,$B17)/60)</f>
        <v/>
      </c>
      <c r="I17" s="85" t="str">
        <f ca="1">IF($B17="","",SUMIFS('TIME REPORT'!$N$6:$N$37,'TIME REPORT'!$A$6:$A$37,I$4,'TIME REPORT'!$E$6:$E$37,$B17)+SUMIFS('TIME REPORT'!$P$6:$P$37,'TIME REPORT'!$A$6:$A$37,I$4,'TIME REPORT'!$E$6:$E$37,$B17)/60)</f>
        <v/>
      </c>
      <c r="J17" s="85" t="str">
        <f ca="1">IF($B17="","",SUMIFS('TIME REPORT'!$N$6:$N$37,'TIME REPORT'!$A$6:$A$37,J$4,'TIME REPORT'!$E$6:$E$37,$B17)+SUMIFS('TIME REPORT'!$P$6:$P$37,'TIME REPORT'!$A$6:$A$37,J$4,'TIME REPORT'!$E$6:$E$37,$B17)/60)</f>
        <v/>
      </c>
      <c r="K17" s="85" t="str">
        <f ca="1">IF($B17="","",SUMIFS('TIME REPORT'!$N$6:$N$37,'TIME REPORT'!$A$6:$A$37,K$4,'TIME REPORT'!$E$6:$E$37,$B17)+SUMIFS('TIME REPORT'!$P$6:$P$37,'TIME REPORT'!$A$6:$A$37,K$4,'TIME REPORT'!$E$6:$E$37,$B17)/60)</f>
        <v/>
      </c>
      <c r="L17" s="85" t="str">
        <f ca="1">IF($B17="","",SUMIFS('TIME REPORT'!$N$6:$N$37,'TIME REPORT'!$A$6:$A$37,L$4,'TIME REPORT'!$E$6:$E$37,$B17)+SUMIFS('TIME REPORT'!$P$6:$P$37,'TIME REPORT'!$A$6:$A$37,L$4,'TIME REPORT'!$E$6:$E$37,$B17)/60)</f>
        <v/>
      </c>
      <c r="M17" s="85" t="str">
        <f ca="1">IF($B17="","",SUMIFS('TIME REPORT'!$N$6:$N$37,'TIME REPORT'!$A$6:$A$37,M$4,'TIME REPORT'!$E$6:$E$37,$B17)+SUMIFS('TIME REPORT'!$P$6:$P$37,'TIME REPORT'!$A$6:$A$37,M$4,'TIME REPORT'!$E$6:$E$37,$B17)/60)</f>
        <v/>
      </c>
      <c r="N17" s="85" t="str">
        <f ca="1">IF($B17="","",SUMIFS('TIME REPORT'!$N$6:$N$37,'TIME REPORT'!$A$6:$A$37,N$4,'TIME REPORT'!$E$6:$E$37,$B17)+SUMIFS('TIME REPORT'!$P$6:$P$37,'TIME REPORT'!$A$6:$A$37,N$4,'TIME REPORT'!$E$6:$E$37,$B17)/60)</f>
        <v/>
      </c>
      <c r="O17" s="85" t="str">
        <f ca="1">IF($B17="","",SUMIFS('TIME REPORT'!$N$6:$N$37,'TIME REPORT'!$A$6:$A$37,O$4,'TIME REPORT'!$E$6:$E$37,$B17)+SUMIFS('TIME REPORT'!$P$6:$P$37,'TIME REPORT'!$A$6:$A$37,O$4,'TIME REPORT'!$E$6:$E$37,$B17)/60)</f>
        <v/>
      </c>
      <c r="P17" s="85" t="str">
        <f ca="1">IF($B17="","",SUMIFS('TIME REPORT'!$N$6:$N$37,'TIME REPORT'!$A$6:$A$37,P$4,'TIME REPORT'!$E$6:$E$37,$B17)+SUMIFS('TIME REPORT'!$P$6:$P$37,'TIME REPORT'!$A$6:$A$37,P$4,'TIME REPORT'!$E$6:$E$37,$B17)/60)</f>
        <v/>
      </c>
      <c r="Q17" s="85" t="str">
        <f ca="1">IF($B17="","",SUMIFS('TIME REPORT'!$N$6:$N$37,'TIME REPORT'!$A$6:$A$37,Q$4,'TIME REPORT'!$E$6:$E$37,$B17)+SUMIFS('TIME REPORT'!$P$6:$P$37,'TIME REPORT'!$A$6:$A$37,Q$4,'TIME REPORT'!$E$6:$E$37,$B17)/60)</f>
        <v/>
      </c>
      <c r="R17" s="85" t="str">
        <f ca="1">IF($B17="","",SUMIFS('TIME REPORT'!$N$6:$N$37,'TIME REPORT'!$A$6:$A$37,R$4,'TIME REPORT'!$E$6:$E$37,$B17)+SUMIFS('TIME REPORT'!$P$6:$P$37,'TIME REPORT'!$A$6:$A$37,R$4,'TIME REPORT'!$E$6:$E$37,$B17)/60)</f>
        <v/>
      </c>
      <c r="S17" s="85" t="str">
        <f ca="1">IF($B17="","",SUMIFS('TIME REPORT'!$N$6:$N$37,'TIME REPORT'!$A$6:$A$37,S$4,'TIME REPORT'!$E$6:$E$37,$B17)+SUMIFS('TIME REPORT'!$P$6:$P$37,'TIME REPORT'!$A$6:$A$37,S$4,'TIME REPORT'!$E$6:$E$37,$B17)/60)</f>
        <v/>
      </c>
      <c r="T17" s="85" t="str">
        <f ca="1">IF($B17="","",SUMIFS('TIME REPORT'!$N$6:$N$37,'TIME REPORT'!$A$6:$A$37,T$4,'TIME REPORT'!$E$6:$E$37,$B17)+SUMIFS('TIME REPORT'!$P$6:$P$37,'TIME REPORT'!$A$6:$A$37,T$4,'TIME REPORT'!$E$6:$E$37,$B17)/60)</f>
        <v/>
      </c>
      <c r="U17" s="85" t="str">
        <f ca="1">IF($B17="","",SUMIFS('TIME REPORT'!$N$6:$N$37,'TIME REPORT'!$A$6:$A$37,U$4,'TIME REPORT'!$E$6:$E$37,$B17)+SUMIFS('TIME REPORT'!$P$6:$P$37,'TIME REPORT'!$A$6:$A$37,U$4,'TIME REPORT'!$E$6:$E$37,$B17)/60)</f>
        <v/>
      </c>
      <c r="V17" s="85" t="str">
        <f ca="1">IF($B17="","",SUMIFS('TIME REPORT'!$N$6:$N$37,'TIME REPORT'!$A$6:$A$37,V$4,'TIME REPORT'!$E$6:$E$37,$B17)+SUMIFS('TIME REPORT'!$P$6:$P$37,'TIME REPORT'!$A$6:$A$37,V$4,'TIME REPORT'!$E$6:$E$37,$B17)/60)</f>
        <v/>
      </c>
      <c r="W17" s="85" t="str">
        <f ca="1">IF($B17="","",SUMIFS('TIME REPORT'!$N$6:$N$37,'TIME REPORT'!$A$6:$A$37,W$4,'TIME REPORT'!$E$6:$E$37,$B17)+SUMIFS('TIME REPORT'!$P$6:$P$37,'TIME REPORT'!$A$6:$A$37,W$4,'TIME REPORT'!$E$6:$E$37,$B17)/60)</f>
        <v/>
      </c>
      <c r="X17" s="85" t="str">
        <f ca="1">IF($B17="","",SUMIFS('TIME REPORT'!$N$6:$N$37,'TIME REPORT'!$A$6:$A$37,X$4,'TIME REPORT'!$E$6:$E$37,$B17)+SUMIFS('TIME REPORT'!$P$6:$P$37,'TIME REPORT'!$A$6:$A$37,X$4,'TIME REPORT'!$E$6:$E$37,$B17)/60)</f>
        <v/>
      </c>
      <c r="Y17" s="85" t="str">
        <f ca="1">IF($B17="","",SUMIFS('TIME REPORT'!$N$6:$N$37,'TIME REPORT'!$A$6:$A$37,Y$4,'TIME REPORT'!$E$6:$E$37,$B17)+SUMIFS('TIME REPORT'!$P$6:$P$37,'TIME REPORT'!$A$6:$A$37,Y$4,'TIME REPORT'!$E$6:$E$37,$B17)/60)</f>
        <v/>
      </c>
      <c r="Z17" s="85" t="str">
        <f ca="1">IF($B17="","",SUMIFS('TIME REPORT'!$N$6:$N$37,'TIME REPORT'!$A$6:$A$37,Z$4,'TIME REPORT'!$E$6:$E$37,$B17)+SUMIFS('TIME REPORT'!$P$6:$P$37,'TIME REPORT'!$A$6:$A$37,Z$4,'TIME REPORT'!$E$6:$E$37,$B17)/60)</f>
        <v/>
      </c>
      <c r="AA17" s="85" t="str">
        <f ca="1">IF($B17="","",SUMIFS('TIME REPORT'!$N$6:$N$37,'TIME REPORT'!$A$6:$A$37,AA$4,'TIME REPORT'!$E$6:$E$37,$B17)+SUMIFS('TIME REPORT'!$P$6:$P$37,'TIME REPORT'!$A$6:$A$37,AA$4,'TIME REPORT'!$E$6:$E$37,$B17)/60)</f>
        <v/>
      </c>
      <c r="AB17" s="85" t="str">
        <f ca="1">IF($B17="","",SUMIFS('TIME REPORT'!$N$6:$N$37,'TIME REPORT'!$A$6:$A$37,AB$4,'TIME REPORT'!$E$6:$E$37,$B17)+SUMIFS('TIME REPORT'!$P$6:$P$37,'TIME REPORT'!$A$6:$A$37,AB$4,'TIME REPORT'!$E$6:$E$37,$B17)/60)</f>
        <v/>
      </c>
      <c r="AC17" s="85" t="str">
        <f ca="1">IF($B17="","",SUMIFS('TIME REPORT'!$N$6:$N$37,'TIME REPORT'!$A$6:$A$37,AC$4,'TIME REPORT'!$E$6:$E$37,$B17)+SUMIFS('TIME REPORT'!$P$6:$P$37,'TIME REPORT'!$A$6:$A$37,AC$4,'TIME REPORT'!$E$6:$E$37,$B17)/60)</f>
        <v/>
      </c>
      <c r="AD17" s="85" t="str">
        <f ca="1">IF($B17="","",SUMIFS('TIME REPORT'!$N$6:$N$37,'TIME REPORT'!$A$6:$A$37,AD$4,'TIME REPORT'!$E$6:$E$37,$B17)+SUMIFS('TIME REPORT'!$P$6:$P$37,'TIME REPORT'!$A$6:$A$37,AD$4,'TIME REPORT'!$E$6:$E$37,$B17)/60)</f>
        <v/>
      </c>
      <c r="AE17" s="85" t="str">
        <f ca="1">IF($B17="","",SUMIFS('TIME REPORT'!$N$6:$N$37,'TIME REPORT'!$A$6:$A$37,AE$4,'TIME REPORT'!$E$6:$E$37,$B17)+SUMIFS('TIME REPORT'!$P$6:$P$37,'TIME REPORT'!$A$6:$A$37,AE$4,'TIME REPORT'!$E$6:$E$37,$B17)/60)</f>
        <v/>
      </c>
      <c r="AF17" s="85" t="str">
        <f ca="1">IF($B17="","",SUMIFS('TIME REPORT'!$N$6:$N$37,'TIME REPORT'!$A$6:$A$37,AF$4,'TIME REPORT'!$E$6:$E$37,$B17)+SUMIFS('TIME REPORT'!$P$6:$P$37,'TIME REPORT'!$A$6:$A$37,AF$4,'TIME REPORT'!$E$6:$E$37,$B17)/60)</f>
        <v/>
      </c>
      <c r="AG17" s="85" t="str">
        <f ca="1">IF($B17="","",SUMIFS('TIME REPORT'!$N$6:$N$37,'TIME REPORT'!$A$6:$A$37,AG$4,'TIME REPORT'!$E$6:$E$37,$B17)+SUMIFS('TIME REPORT'!$P$6:$P$37,'TIME REPORT'!$A$6:$A$37,AG$4,'TIME REPORT'!$E$6:$E$37,$B17)/60)</f>
        <v/>
      </c>
      <c r="AH17" s="85" t="str">
        <f ca="1">IF($B17="","",SUMIFS('TIME REPORT'!$N$6:$N$37,'TIME REPORT'!$A$6:$A$37,AH$4,'TIME REPORT'!$E$6:$E$37,$B17)+SUMIFS('TIME REPORT'!$P$6:$P$37,'TIME REPORT'!$A$6:$A$37,AH$4,'TIME REPORT'!$E$6:$E$37,$B17)/60)</f>
        <v/>
      </c>
      <c r="AI17" s="85" t="str">
        <f ca="1">IF($B17="","",SUMIFS('TIME REPORT'!$N$6:$N$37,'TIME REPORT'!$A$6:$A$37,AI$4,'TIME REPORT'!$E$6:$E$37,$B17)+SUMIFS('TIME REPORT'!$P$6:$P$37,'TIME REPORT'!$A$6:$A$37,AI$4,'TIME REPORT'!$E$6:$E$37,$B17)/60)</f>
        <v/>
      </c>
      <c r="AJ17" s="85" t="str">
        <f ca="1">IF($B17="","",SUMIFS('TIME REPORT'!$N$6:$N$37,'TIME REPORT'!$A$6:$A$37,AJ$4,'TIME REPORT'!$E$6:$E$37,$B17)+SUMIFS('TIME REPORT'!$P$6:$P$37,'TIME REPORT'!$A$6:$A$37,AJ$4,'TIME REPORT'!$E$6:$E$37,$B17)/60)</f>
        <v/>
      </c>
      <c r="AK17" s="85" t="str">
        <f ca="1">IF($B17="","",SUMIFS('TIME REPORT'!$N$6:$N$37,'TIME REPORT'!$A$6:$A$37,AK$4,'TIME REPORT'!$E$6:$E$37,$B17)+SUMIFS('TIME REPORT'!$P$6:$P$37,'TIME REPORT'!$A$6:$A$37,AK$4,'TIME REPORT'!$E$6:$E$37,$B17)/60)</f>
        <v/>
      </c>
      <c r="AL17" s="86">
        <f t="shared" ca="1" si="0"/>
        <v>0</v>
      </c>
      <c r="AM17" s="38"/>
      <c r="AN17" s="38"/>
      <c r="AO17" s="38"/>
      <c r="AP17" s="23"/>
      <c r="AQ17" s="23"/>
      <c r="AR17" s="23"/>
      <c r="AS17"/>
      <c r="AT17"/>
      <c r="AU17"/>
      <c r="AV17"/>
      <c r="AW17"/>
      <c r="AX17"/>
      <c r="AY17"/>
      <c r="AZ17"/>
      <c r="BA17"/>
    </row>
    <row r="18" spans="1:53" ht="29.4" hidden="1" thickBot="1">
      <c r="A18" s="33">
        <v>13</v>
      </c>
      <c r="B18" s="160" t="str" cm="1">
        <f t="array" aca="1" ref="B18" ca="1">IFERROR(INDEX(_xlfn._xlws.FILTER(ClientCodeList,COUNTIF('TIME REPORT'!$E$6:$E$37,ClientCodeList)&gt;0),ROWS($B$6:B18)),"")</f>
        <v/>
      </c>
      <c r="C18" s="113"/>
      <c r="D18" s="88" t="str" cm="1">
        <f t="array" aca="1" ref="D18" ca="1">IF($B18="","",IFERROR(INDEX('TIME REPORT'!$H$6:$H$37,MATCH(1,('TIME REPORT'!$E$6:$E$37=$B18)*('TIME REPORT'!$H$6:$H$37&lt;&gt;""),0)),""))</f>
        <v/>
      </c>
      <c r="E18" s="113"/>
      <c r="F18" s="114"/>
      <c r="G18" s="85" t="str">
        <f ca="1">IF($B18="","",SUMIFS('TIME REPORT'!$N$6:$N$37,'TIME REPORT'!$A$6:$A$37,G$4,'TIME REPORT'!$E$6:$E$37,$B18)+SUMIFS('TIME REPORT'!$P$6:$P$37,'TIME REPORT'!$A$6:$A$37,G$4,'TIME REPORT'!$E$6:$E$37,$B18)/60)</f>
        <v/>
      </c>
      <c r="H18" s="85" t="str">
        <f ca="1">IF($B18="","",SUMIFS('TIME REPORT'!$N$6:$N$37,'TIME REPORT'!$A$6:$A$37,H$4,'TIME REPORT'!$E$6:$E$37,$B18)+SUMIFS('TIME REPORT'!$P$6:$P$37,'TIME REPORT'!$A$6:$A$37,H$4,'TIME REPORT'!$E$6:$E$37,$B18)/60)</f>
        <v/>
      </c>
      <c r="I18" s="85" t="str">
        <f ca="1">IF($B18="","",SUMIFS('TIME REPORT'!$N$6:$N$37,'TIME REPORT'!$A$6:$A$37,I$4,'TIME REPORT'!$E$6:$E$37,$B18)+SUMIFS('TIME REPORT'!$P$6:$P$37,'TIME REPORT'!$A$6:$A$37,I$4,'TIME REPORT'!$E$6:$E$37,$B18)/60)</f>
        <v/>
      </c>
      <c r="J18" s="85" t="str">
        <f ca="1">IF($B18="","",SUMIFS('TIME REPORT'!$N$6:$N$37,'TIME REPORT'!$A$6:$A$37,J$4,'TIME REPORT'!$E$6:$E$37,$B18)+SUMIFS('TIME REPORT'!$P$6:$P$37,'TIME REPORT'!$A$6:$A$37,J$4,'TIME REPORT'!$E$6:$E$37,$B18)/60)</f>
        <v/>
      </c>
      <c r="K18" s="85" t="str">
        <f ca="1">IF($B18="","",SUMIFS('TIME REPORT'!$N$6:$N$37,'TIME REPORT'!$A$6:$A$37,K$4,'TIME REPORT'!$E$6:$E$37,$B18)+SUMIFS('TIME REPORT'!$P$6:$P$37,'TIME REPORT'!$A$6:$A$37,K$4,'TIME REPORT'!$E$6:$E$37,$B18)/60)</f>
        <v/>
      </c>
      <c r="L18" s="85" t="str">
        <f ca="1">IF($B18="","",SUMIFS('TIME REPORT'!$N$6:$N$37,'TIME REPORT'!$A$6:$A$37,L$4,'TIME REPORT'!$E$6:$E$37,$B18)+SUMIFS('TIME REPORT'!$P$6:$P$37,'TIME REPORT'!$A$6:$A$37,L$4,'TIME REPORT'!$E$6:$E$37,$B18)/60)</f>
        <v/>
      </c>
      <c r="M18" s="85" t="str">
        <f ca="1">IF($B18="","",SUMIFS('TIME REPORT'!$N$6:$N$37,'TIME REPORT'!$A$6:$A$37,M$4,'TIME REPORT'!$E$6:$E$37,$B18)+SUMIFS('TIME REPORT'!$P$6:$P$37,'TIME REPORT'!$A$6:$A$37,M$4,'TIME REPORT'!$E$6:$E$37,$B18)/60)</f>
        <v/>
      </c>
      <c r="N18" s="85" t="str">
        <f ca="1">IF($B18="","",SUMIFS('TIME REPORT'!$N$6:$N$37,'TIME REPORT'!$A$6:$A$37,N$4,'TIME REPORT'!$E$6:$E$37,$B18)+SUMIFS('TIME REPORT'!$P$6:$P$37,'TIME REPORT'!$A$6:$A$37,N$4,'TIME REPORT'!$E$6:$E$37,$B18)/60)</f>
        <v/>
      </c>
      <c r="O18" s="85" t="str">
        <f ca="1">IF($B18="","",SUMIFS('TIME REPORT'!$N$6:$N$37,'TIME REPORT'!$A$6:$A$37,O$4,'TIME REPORT'!$E$6:$E$37,$B18)+SUMIFS('TIME REPORT'!$P$6:$P$37,'TIME REPORT'!$A$6:$A$37,O$4,'TIME REPORT'!$E$6:$E$37,$B18)/60)</f>
        <v/>
      </c>
      <c r="P18" s="85" t="str">
        <f ca="1">IF($B18="","",SUMIFS('TIME REPORT'!$N$6:$N$37,'TIME REPORT'!$A$6:$A$37,P$4,'TIME REPORT'!$E$6:$E$37,$B18)+SUMIFS('TIME REPORT'!$P$6:$P$37,'TIME REPORT'!$A$6:$A$37,P$4,'TIME REPORT'!$E$6:$E$37,$B18)/60)</f>
        <v/>
      </c>
      <c r="Q18" s="85" t="str">
        <f ca="1">IF($B18="","",SUMIFS('TIME REPORT'!$N$6:$N$37,'TIME REPORT'!$A$6:$A$37,Q$4,'TIME REPORT'!$E$6:$E$37,$B18)+SUMIFS('TIME REPORT'!$P$6:$P$37,'TIME REPORT'!$A$6:$A$37,Q$4,'TIME REPORT'!$E$6:$E$37,$B18)/60)</f>
        <v/>
      </c>
      <c r="R18" s="85" t="str">
        <f ca="1">IF($B18="","",SUMIFS('TIME REPORT'!$N$6:$N$37,'TIME REPORT'!$A$6:$A$37,R$4,'TIME REPORT'!$E$6:$E$37,$B18)+SUMIFS('TIME REPORT'!$P$6:$P$37,'TIME REPORT'!$A$6:$A$37,R$4,'TIME REPORT'!$E$6:$E$37,$B18)/60)</f>
        <v/>
      </c>
      <c r="S18" s="85" t="str">
        <f ca="1">IF($B18="","",SUMIFS('TIME REPORT'!$N$6:$N$37,'TIME REPORT'!$A$6:$A$37,S$4,'TIME REPORT'!$E$6:$E$37,$B18)+SUMIFS('TIME REPORT'!$P$6:$P$37,'TIME REPORT'!$A$6:$A$37,S$4,'TIME REPORT'!$E$6:$E$37,$B18)/60)</f>
        <v/>
      </c>
      <c r="T18" s="85" t="str">
        <f ca="1">IF($B18="","",SUMIFS('TIME REPORT'!$N$6:$N$37,'TIME REPORT'!$A$6:$A$37,T$4,'TIME REPORT'!$E$6:$E$37,$B18)+SUMIFS('TIME REPORT'!$P$6:$P$37,'TIME REPORT'!$A$6:$A$37,T$4,'TIME REPORT'!$E$6:$E$37,$B18)/60)</f>
        <v/>
      </c>
      <c r="U18" s="85" t="str">
        <f ca="1">IF($B18="","",SUMIFS('TIME REPORT'!$N$6:$N$37,'TIME REPORT'!$A$6:$A$37,U$4,'TIME REPORT'!$E$6:$E$37,$B18)+SUMIFS('TIME REPORT'!$P$6:$P$37,'TIME REPORT'!$A$6:$A$37,U$4,'TIME REPORT'!$E$6:$E$37,$B18)/60)</f>
        <v/>
      </c>
      <c r="V18" s="85" t="str">
        <f ca="1">IF($B18="","",SUMIFS('TIME REPORT'!$N$6:$N$37,'TIME REPORT'!$A$6:$A$37,V$4,'TIME REPORT'!$E$6:$E$37,$B18)+SUMIFS('TIME REPORT'!$P$6:$P$37,'TIME REPORT'!$A$6:$A$37,V$4,'TIME REPORT'!$E$6:$E$37,$B18)/60)</f>
        <v/>
      </c>
      <c r="W18" s="85" t="str">
        <f ca="1">IF($B18="","",SUMIFS('TIME REPORT'!$N$6:$N$37,'TIME REPORT'!$A$6:$A$37,W$4,'TIME REPORT'!$E$6:$E$37,$B18)+SUMIFS('TIME REPORT'!$P$6:$P$37,'TIME REPORT'!$A$6:$A$37,W$4,'TIME REPORT'!$E$6:$E$37,$B18)/60)</f>
        <v/>
      </c>
      <c r="X18" s="85" t="str">
        <f ca="1">IF($B18="","",SUMIFS('TIME REPORT'!$N$6:$N$37,'TIME REPORT'!$A$6:$A$37,X$4,'TIME REPORT'!$E$6:$E$37,$B18)+SUMIFS('TIME REPORT'!$P$6:$P$37,'TIME REPORT'!$A$6:$A$37,X$4,'TIME REPORT'!$E$6:$E$37,$B18)/60)</f>
        <v/>
      </c>
      <c r="Y18" s="85" t="str">
        <f ca="1">IF($B18="","",SUMIFS('TIME REPORT'!$N$6:$N$37,'TIME REPORT'!$A$6:$A$37,Y$4,'TIME REPORT'!$E$6:$E$37,$B18)+SUMIFS('TIME REPORT'!$P$6:$P$37,'TIME REPORT'!$A$6:$A$37,Y$4,'TIME REPORT'!$E$6:$E$37,$B18)/60)</f>
        <v/>
      </c>
      <c r="Z18" s="85" t="str">
        <f ca="1">IF($B18="","",SUMIFS('TIME REPORT'!$N$6:$N$37,'TIME REPORT'!$A$6:$A$37,Z$4,'TIME REPORT'!$E$6:$E$37,$B18)+SUMIFS('TIME REPORT'!$P$6:$P$37,'TIME REPORT'!$A$6:$A$37,Z$4,'TIME REPORT'!$E$6:$E$37,$B18)/60)</f>
        <v/>
      </c>
      <c r="AA18" s="85" t="str">
        <f ca="1">IF($B18="","",SUMIFS('TIME REPORT'!$N$6:$N$37,'TIME REPORT'!$A$6:$A$37,AA$4,'TIME REPORT'!$E$6:$E$37,$B18)+SUMIFS('TIME REPORT'!$P$6:$P$37,'TIME REPORT'!$A$6:$A$37,AA$4,'TIME REPORT'!$E$6:$E$37,$B18)/60)</f>
        <v/>
      </c>
      <c r="AB18" s="85" t="str">
        <f ca="1">IF($B18="","",SUMIFS('TIME REPORT'!$N$6:$N$37,'TIME REPORT'!$A$6:$A$37,AB$4,'TIME REPORT'!$E$6:$E$37,$B18)+SUMIFS('TIME REPORT'!$P$6:$P$37,'TIME REPORT'!$A$6:$A$37,AB$4,'TIME REPORT'!$E$6:$E$37,$B18)/60)</f>
        <v/>
      </c>
      <c r="AC18" s="85" t="str">
        <f ca="1">IF($B18="","",SUMIFS('TIME REPORT'!$N$6:$N$37,'TIME REPORT'!$A$6:$A$37,AC$4,'TIME REPORT'!$E$6:$E$37,$B18)+SUMIFS('TIME REPORT'!$P$6:$P$37,'TIME REPORT'!$A$6:$A$37,AC$4,'TIME REPORT'!$E$6:$E$37,$B18)/60)</f>
        <v/>
      </c>
      <c r="AD18" s="85" t="str">
        <f ca="1">IF($B18="","",SUMIFS('TIME REPORT'!$N$6:$N$37,'TIME REPORT'!$A$6:$A$37,AD$4,'TIME REPORT'!$E$6:$E$37,$B18)+SUMIFS('TIME REPORT'!$P$6:$P$37,'TIME REPORT'!$A$6:$A$37,AD$4,'TIME REPORT'!$E$6:$E$37,$B18)/60)</f>
        <v/>
      </c>
      <c r="AE18" s="85" t="str">
        <f ca="1">IF($B18="","",SUMIFS('TIME REPORT'!$N$6:$N$37,'TIME REPORT'!$A$6:$A$37,AE$4,'TIME REPORT'!$E$6:$E$37,$B18)+SUMIFS('TIME REPORT'!$P$6:$P$37,'TIME REPORT'!$A$6:$A$37,AE$4,'TIME REPORT'!$E$6:$E$37,$B18)/60)</f>
        <v/>
      </c>
      <c r="AF18" s="85" t="str">
        <f ca="1">IF($B18="","",SUMIFS('TIME REPORT'!$N$6:$N$37,'TIME REPORT'!$A$6:$A$37,AF$4,'TIME REPORT'!$E$6:$E$37,$B18)+SUMIFS('TIME REPORT'!$P$6:$P$37,'TIME REPORT'!$A$6:$A$37,AF$4,'TIME REPORT'!$E$6:$E$37,$B18)/60)</f>
        <v/>
      </c>
      <c r="AG18" s="85" t="str">
        <f ca="1">IF($B18="","",SUMIFS('TIME REPORT'!$N$6:$N$37,'TIME REPORT'!$A$6:$A$37,AG$4,'TIME REPORT'!$E$6:$E$37,$B18)+SUMIFS('TIME REPORT'!$P$6:$P$37,'TIME REPORT'!$A$6:$A$37,AG$4,'TIME REPORT'!$E$6:$E$37,$B18)/60)</f>
        <v/>
      </c>
      <c r="AH18" s="85" t="str">
        <f ca="1">IF($B18="","",SUMIFS('TIME REPORT'!$N$6:$N$37,'TIME REPORT'!$A$6:$A$37,AH$4,'TIME REPORT'!$E$6:$E$37,$B18)+SUMIFS('TIME REPORT'!$P$6:$P$37,'TIME REPORT'!$A$6:$A$37,AH$4,'TIME REPORT'!$E$6:$E$37,$B18)/60)</f>
        <v/>
      </c>
      <c r="AI18" s="85" t="str">
        <f ca="1">IF($B18="","",SUMIFS('TIME REPORT'!$N$6:$N$37,'TIME REPORT'!$A$6:$A$37,AI$4,'TIME REPORT'!$E$6:$E$37,$B18)+SUMIFS('TIME REPORT'!$P$6:$P$37,'TIME REPORT'!$A$6:$A$37,AI$4,'TIME REPORT'!$E$6:$E$37,$B18)/60)</f>
        <v/>
      </c>
      <c r="AJ18" s="85" t="str">
        <f ca="1">IF($B18="","",SUMIFS('TIME REPORT'!$N$6:$N$37,'TIME REPORT'!$A$6:$A$37,AJ$4,'TIME REPORT'!$E$6:$E$37,$B18)+SUMIFS('TIME REPORT'!$P$6:$P$37,'TIME REPORT'!$A$6:$A$37,AJ$4,'TIME REPORT'!$E$6:$E$37,$B18)/60)</f>
        <v/>
      </c>
      <c r="AK18" s="85" t="str">
        <f ca="1">IF($B18="","",SUMIFS('TIME REPORT'!$N$6:$N$37,'TIME REPORT'!$A$6:$A$37,AK$4,'TIME REPORT'!$E$6:$E$37,$B18)+SUMIFS('TIME REPORT'!$P$6:$P$37,'TIME REPORT'!$A$6:$A$37,AK$4,'TIME REPORT'!$E$6:$E$37,$B18)/60)</f>
        <v/>
      </c>
      <c r="AL18" s="86">
        <f t="shared" ca="1" si="0"/>
        <v>0</v>
      </c>
      <c r="AM18" s="38"/>
      <c r="AN18" s="38"/>
      <c r="AO18" s="38"/>
      <c r="AP18" s="23"/>
      <c r="AQ18" s="23"/>
      <c r="AR18" s="23"/>
      <c r="AS18"/>
      <c r="AT18"/>
      <c r="AU18"/>
      <c r="AV18"/>
      <c r="AW18"/>
      <c r="AX18"/>
      <c r="AY18"/>
      <c r="AZ18"/>
      <c r="BA18"/>
    </row>
    <row r="19" spans="1:53" hidden="1">
      <c r="A19" s="33">
        <v>14</v>
      </c>
      <c r="B19" s="160" t="str" cm="1">
        <f t="array" aca="1" ref="B19" ca="1">IFERROR(INDEX(_xlfn._xlws.FILTER(ClientCodeList,COUNTIF('TIME REPORT'!$E$6:$E$37,ClientCodeList)&gt;0),ROWS($B$6:B19)),"")</f>
        <v/>
      </c>
      <c r="C19" s="113"/>
      <c r="D19" s="88" t="str" cm="1">
        <f t="array" aca="1" ref="D19" ca="1">IF($B19="","",IFERROR(INDEX('TIME REPORT'!$H$6:$H$37,MATCH(1,('TIME REPORT'!$E$6:$E$37=$B19)*('TIME REPORT'!$H$6:$H$37&lt;&gt;""),0)),""))</f>
        <v/>
      </c>
      <c r="E19" s="113"/>
      <c r="F19" s="114"/>
      <c r="G19" s="85" t="str">
        <f ca="1">IF($B19="","",SUMIFS('TIME REPORT'!$N$6:$N$37,'TIME REPORT'!$A$6:$A$37,G$4,'TIME REPORT'!$E$6:$E$37,$B19)+SUMIFS('TIME REPORT'!$P$6:$P$37,'TIME REPORT'!$A$6:$A$37,G$4,'TIME REPORT'!$E$6:$E$37,$B19)/60)</f>
        <v/>
      </c>
      <c r="H19" s="85" t="str">
        <f ca="1">IF($B19="","",SUMIFS('TIME REPORT'!$N$6:$N$37,'TIME REPORT'!$A$6:$A$37,H$4,'TIME REPORT'!$E$6:$E$37,$B19)+SUMIFS('TIME REPORT'!$P$6:$P$37,'TIME REPORT'!$A$6:$A$37,H$4,'TIME REPORT'!$E$6:$E$37,$B19)/60)</f>
        <v/>
      </c>
      <c r="I19" s="85" t="str">
        <f ca="1">IF($B19="","",SUMIFS('TIME REPORT'!$N$6:$N$37,'TIME REPORT'!$A$6:$A$37,I$4,'TIME REPORT'!$E$6:$E$37,$B19)+SUMIFS('TIME REPORT'!$P$6:$P$37,'TIME REPORT'!$A$6:$A$37,I$4,'TIME REPORT'!$E$6:$E$37,$B19)/60)</f>
        <v/>
      </c>
      <c r="J19" s="85" t="str">
        <f ca="1">IF($B19="","",SUMIFS('TIME REPORT'!$N$6:$N$37,'TIME REPORT'!$A$6:$A$37,J$4,'TIME REPORT'!$E$6:$E$37,$B19)+SUMIFS('TIME REPORT'!$P$6:$P$37,'TIME REPORT'!$A$6:$A$37,J$4,'TIME REPORT'!$E$6:$E$37,$B19)/60)</f>
        <v/>
      </c>
      <c r="K19" s="85" t="str">
        <f ca="1">IF($B19="","",SUMIFS('TIME REPORT'!$N$6:$N$37,'TIME REPORT'!$A$6:$A$37,K$4,'TIME REPORT'!$E$6:$E$37,$B19)+SUMIFS('TIME REPORT'!$P$6:$P$37,'TIME REPORT'!$A$6:$A$37,K$4,'TIME REPORT'!$E$6:$E$37,$B19)/60)</f>
        <v/>
      </c>
      <c r="L19" s="85" t="str">
        <f ca="1">IF($B19="","",SUMIFS('TIME REPORT'!$N$6:$N$37,'TIME REPORT'!$A$6:$A$37,L$4,'TIME REPORT'!$E$6:$E$37,$B19)+SUMIFS('TIME REPORT'!$P$6:$P$37,'TIME REPORT'!$A$6:$A$37,L$4,'TIME REPORT'!$E$6:$E$37,$B19)/60)</f>
        <v/>
      </c>
      <c r="M19" s="85" t="str">
        <f ca="1">IF($B19="","",SUMIFS('TIME REPORT'!$N$6:$N$37,'TIME REPORT'!$A$6:$A$37,M$4,'TIME REPORT'!$E$6:$E$37,$B19)+SUMIFS('TIME REPORT'!$P$6:$P$37,'TIME REPORT'!$A$6:$A$37,M$4,'TIME REPORT'!$E$6:$E$37,$B19)/60)</f>
        <v/>
      </c>
      <c r="N19" s="85" t="str">
        <f ca="1">IF($B19="","",SUMIFS('TIME REPORT'!$N$6:$N$37,'TIME REPORT'!$A$6:$A$37,N$4,'TIME REPORT'!$E$6:$E$37,$B19)+SUMIFS('TIME REPORT'!$P$6:$P$37,'TIME REPORT'!$A$6:$A$37,N$4,'TIME REPORT'!$E$6:$E$37,$B19)/60)</f>
        <v/>
      </c>
      <c r="O19" s="85" t="str">
        <f ca="1">IF($B19="","",SUMIFS('TIME REPORT'!$N$6:$N$37,'TIME REPORT'!$A$6:$A$37,O$4,'TIME REPORT'!$E$6:$E$37,$B19)+SUMIFS('TIME REPORT'!$P$6:$P$37,'TIME REPORT'!$A$6:$A$37,O$4,'TIME REPORT'!$E$6:$E$37,$B19)/60)</f>
        <v/>
      </c>
      <c r="P19" s="85" t="str">
        <f ca="1">IF($B19="","",SUMIFS('TIME REPORT'!$N$6:$N$37,'TIME REPORT'!$A$6:$A$37,P$4,'TIME REPORT'!$E$6:$E$37,$B19)+SUMIFS('TIME REPORT'!$P$6:$P$37,'TIME REPORT'!$A$6:$A$37,P$4,'TIME REPORT'!$E$6:$E$37,$B19)/60)</f>
        <v/>
      </c>
      <c r="Q19" s="85" t="str">
        <f ca="1">IF($B19="","",SUMIFS('TIME REPORT'!$N$6:$N$37,'TIME REPORT'!$A$6:$A$37,Q$4,'TIME REPORT'!$E$6:$E$37,$B19)+SUMIFS('TIME REPORT'!$P$6:$P$37,'TIME REPORT'!$A$6:$A$37,Q$4,'TIME REPORT'!$E$6:$E$37,$B19)/60)</f>
        <v/>
      </c>
      <c r="R19" s="85" t="str">
        <f ca="1">IF($B19="","",SUMIFS('TIME REPORT'!$N$6:$N$37,'TIME REPORT'!$A$6:$A$37,R$4,'TIME REPORT'!$E$6:$E$37,$B19)+SUMIFS('TIME REPORT'!$P$6:$P$37,'TIME REPORT'!$A$6:$A$37,R$4,'TIME REPORT'!$E$6:$E$37,$B19)/60)</f>
        <v/>
      </c>
      <c r="S19" s="85" t="str">
        <f ca="1">IF($B19="","",SUMIFS('TIME REPORT'!$N$6:$N$37,'TIME REPORT'!$A$6:$A$37,S$4,'TIME REPORT'!$E$6:$E$37,$B19)+SUMIFS('TIME REPORT'!$P$6:$P$37,'TIME REPORT'!$A$6:$A$37,S$4,'TIME REPORT'!$E$6:$E$37,$B19)/60)</f>
        <v/>
      </c>
      <c r="T19" s="85" t="str">
        <f ca="1">IF($B19="","",SUMIFS('TIME REPORT'!$N$6:$N$37,'TIME REPORT'!$A$6:$A$37,T$4,'TIME REPORT'!$E$6:$E$37,$B19)+SUMIFS('TIME REPORT'!$P$6:$P$37,'TIME REPORT'!$A$6:$A$37,T$4,'TIME REPORT'!$E$6:$E$37,$B19)/60)</f>
        <v/>
      </c>
      <c r="U19" s="85" t="str">
        <f ca="1">IF($B19="","",SUMIFS('TIME REPORT'!$N$6:$N$37,'TIME REPORT'!$A$6:$A$37,U$4,'TIME REPORT'!$E$6:$E$37,$B19)+SUMIFS('TIME REPORT'!$P$6:$P$37,'TIME REPORT'!$A$6:$A$37,U$4,'TIME REPORT'!$E$6:$E$37,$B19)/60)</f>
        <v/>
      </c>
      <c r="V19" s="85" t="str">
        <f ca="1">IF($B19="","",SUMIFS('TIME REPORT'!$N$6:$N$37,'TIME REPORT'!$A$6:$A$37,V$4,'TIME REPORT'!$E$6:$E$37,$B19)+SUMIFS('TIME REPORT'!$P$6:$P$37,'TIME REPORT'!$A$6:$A$37,V$4,'TIME REPORT'!$E$6:$E$37,$B19)/60)</f>
        <v/>
      </c>
      <c r="W19" s="85" t="str">
        <f ca="1">IF($B19="","",SUMIFS('TIME REPORT'!$N$6:$N$37,'TIME REPORT'!$A$6:$A$37,W$4,'TIME REPORT'!$E$6:$E$37,$B19)+SUMIFS('TIME REPORT'!$P$6:$P$37,'TIME REPORT'!$A$6:$A$37,W$4,'TIME REPORT'!$E$6:$E$37,$B19)/60)</f>
        <v/>
      </c>
      <c r="X19" s="85" t="str">
        <f ca="1">IF($B19="","",SUMIFS('TIME REPORT'!$N$6:$N$37,'TIME REPORT'!$A$6:$A$37,X$4,'TIME REPORT'!$E$6:$E$37,$B19)+SUMIFS('TIME REPORT'!$P$6:$P$37,'TIME REPORT'!$A$6:$A$37,X$4,'TIME REPORT'!$E$6:$E$37,$B19)/60)</f>
        <v/>
      </c>
      <c r="Y19" s="85" t="str">
        <f ca="1">IF($B19="","",SUMIFS('TIME REPORT'!$N$6:$N$37,'TIME REPORT'!$A$6:$A$37,Y$4,'TIME REPORT'!$E$6:$E$37,$B19)+SUMIFS('TIME REPORT'!$P$6:$P$37,'TIME REPORT'!$A$6:$A$37,Y$4,'TIME REPORT'!$E$6:$E$37,$B19)/60)</f>
        <v/>
      </c>
      <c r="Z19" s="85" t="str">
        <f ca="1">IF($B19="","",SUMIFS('TIME REPORT'!$N$6:$N$37,'TIME REPORT'!$A$6:$A$37,Z$4,'TIME REPORT'!$E$6:$E$37,$B19)+SUMIFS('TIME REPORT'!$P$6:$P$37,'TIME REPORT'!$A$6:$A$37,Z$4,'TIME REPORT'!$E$6:$E$37,$B19)/60)</f>
        <v/>
      </c>
      <c r="AA19" s="85" t="str">
        <f ca="1">IF($B19="","",SUMIFS('TIME REPORT'!$N$6:$N$37,'TIME REPORT'!$A$6:$A$37,AA$4,'TIME REPORT'!$E$6:$E$37,$B19)+SUMIFS('TIME REPORT'!$P$6:$P$37,'TIME REPORT'!$A$6:$A$37,AA$4,'TIME REPORT'!$E$6:$E$37,$B19)/60)</f>
        <v/>
      </c>
      <c r="AB19" s="85" t="str">
        <f ca="1">IF($B19="","",SUMIFS('TIME REPORT'!$N$6:$N$37,'TIME REPORT'!$A$6:$A$37,AB$4,'TIME REPORT'!$E$6:$E$37,$B19)+SUMIFS('TIME REPORT'!$P$6:$P$37,'TIME REPORT'!$A$6:$A$37,AB$4,'TIME REPORT'!$E$6:$E$37,$B19)/60)</f>
        <v/>
      </c>
      <c r="AC19" s="85" t="str">
        <f ca="1">IF($B19="","",SUMIFS('TIME REPORT'!$N$6:$N$37,'TIME REPORT'!$A$6:$A$37,AC$4,'TIME REPORT'!$E$6:$E$37,$B19)+SUMIFS('TIME REPORT'!$P$6:$P$37,'TIME REPORT'!$A$6:$A$37,AC$4,'TIME REPORT'!$E$6:$E$37,$B19)/60)</f>
        <v/>
      </c>
      <c r="AD19" s="85" t="str">
        <f ca="1">IF($B19="","",SUMIFS('TIME REPORT'!$N$6:$N$37,'TIME REPORT'!$A$6:$A$37,AD$4,'TIME REPORT'!$E$6:$E$37,$B19)+SUMIFS('TIME REPORT'!$P$6:$P$37,'TIME REPORT'!$A$6:$A$37,AD$4,'TIME REPORT'!$E$6:$E$37,$B19)/60)</f>
        <v/>
      </c>
      <c r="AE19" s="85" t="str">
        <f ca="1">IF($B19="","",SUMIFS('TIME REPORT'!$N$6:$N$37,'TIME REPORT'!$A$6:$A$37,AE$4,'TIME REPORT'!$E$6:$E$37,$B19)+SUMIFS('TIME REPORT'!$P$6:$P$37,'TIME REPORT'!$A$6:$A$37,AE$4,'TIME REPORT'!$E$6:$E$37,$B19)/60)</f>
        <v/>
      </c>
      <c r="AF19" s="85" t="str">
        <f ca="1">IF($B19="","",SUMIFS('TIME REPORT'!$N$6:$N$37,'TIME REPORT'!$A$6:$A$37,AF$4,'TIME REPORT'!$E$6:$E$37,$B19)+SUMIFS('TIME REPORT'!$P$6:$P$37,'TIME REPORT'!$A$6:$A$37,AF$4,'TIME REPORT'!$E$6:$E$37,$B19)/60)</f>
        <v/>
      </c>
      <c r="AG19" s="85" t="str">
        <f ca="1">IF($B19="","",SUMIFS('TIME REPORT'!$N$6:$N$37,'TIME REPORT'!$A$6:$A$37,AG$4,'TIME REPORT'!$E$6:$E$37,$B19)+SUMIFS('TIME REPORT'!$P$6:$P$37,'TIME REPORT'!$A$6:$A$37,AG$4,'TIME REPORT'!$E$6:$E$37,$B19)/60)</f>
        <v/>
      </c>
      <c r="AH19" s="85" t="str">
        <f ca="1">IF($B19="","",SUMIFS('TIME REPORT'!$N$6:$N$37,'TIME REPORT'!$A$6:$A$37,AH$4,'TIME REPORT'!$E$6:$E$37,$B19)+SUMIFS('TIME REPORT'!$P$6:$P$37,'TIME REPORT'!$A$6:$A$37,AH$4,'TIME REPORT'!$E$6:$E$37,$B19)/60)</f>
        <v/>
      </c>
      <c r="AI19" s="85" t="str">
        <f ca="1">IF($B19="","",SUMIFS('TIME REPORT'!$N$6:$N$37,'TIME REPORT'!$A$6:$A$37,AI$4,'TIME REPORT'!$E$6:$E$37,$B19)+SUMIFS('TIME REPORT'!$P$6:$P$37,'TIME REPORT'!$A$6:$A$37,AI$4,'TIME REPORT'!$E$6:$E$37,$B19)/60)</f>
        <v/>
      </c>
      <c r="AJ19" s="85" t="str">
        <f ca="1">IF($B19="","",SUMIFS('TIME REPORT'!$N$6:$N$37,'TIME REPORT'!$A$6:$A$37,AJ$4,'TIME REPORT'!$E$6:$E$37,$B19)+SUMIFS('TIME REPORT'!$P$6:$P$37,'TIME REPORT'!$A$6:$A$37,AJ$4,'TIME REPORT'!$E$6:$E$37,$B19)/60)</f>
        <v/>
      </c>
      <c r="AK19" s="85" t="str">
        <f ca="1">IF($B19="","",SUMIFS('TIME REPORT'!$N$6:$N$37,'TIME REPORT'!$A$6:$A$37,AK$4,'TIME REPORT'!$E$6:$E$37,$B19)+SUMIFS('TIME REPORT'!$P$6:$P$37,'TIME REPORT'!$A$6:$A$37,AK$4,'TIME REPORT'!$E$6:$E$37,$B19)/60)</f>
        <v/>
      </c>
      <c r="AL19" s="86">
        <f t="shared" ca="1" si="0"/>
        <v>0</v>
      </c>
      <c r="AM19" s="38"/>
      <c r="AN19" s="38"/>
      <c r="AO19" s="38"/>
      <c r="AP19" s="23"/>
      <c r="AQ19" s="23"/>
      <c r="AR19" s="23"/>
      <c r="AS19"/>
      <c r="AT19"/>
      <c r="AU19"/>
      <c r="AV19"/>
      <c r="AW19"/>
      <c r="AX19"/>
      <c r="AY19"/>
      <c r="AZ19"/>
      <c r="BA19"/>
    </row>
    <row r="20" spans="1:53" hidden="1">
      <c r="A20" s="33">
        <v>15</v>
      </c>
      <c r="B20" s="160" t="str" cm="1">
        <f t="array" aca="1" ref="B20" ca="1">IFERROR(INDEX(_xlfn._xlws.FILTER(ClientCodeList,COUNTIF('TIME REPORT'!$E$6:$E$37,ClientCodeList)&gt;0),ROWS($B$6:B20)),"")</f>
        <v/>
      </c>
      <c r="C20" s="113"/>
      <c r="D20" s="88" t="str" cm="1">
        <f t="array" aca="1" ref="D20" ca="1">IF($B20="","",IFERROR(INDEX('TIME REPORT'!$H$6:$H$37,MATCH(1,('TIME REPORT'!$E$6:$E$37=$B20)*('TIME REPORT'!$H$6:$H$37&lt;&gt;""),0)),""))</f>
        <v/>
      </c>
      <c r="E20" s="113"/>
      <c r="F20" s="114"/>
      <c r="G20" s="89" t="str">
        <f ca="1">IF($B20="","",SUMIFS('TIME REPORT'!$N$6:$N$37,'TIME REPORT'!$A$6:$A$37,G$4,'TIME REPORT'!$E$6:$E$37,$B20)+SUMIFS('TIME REPORT'!$P$6:$P$37,'TIME REPORT'!$A$6:$A$37,G$4,'TIME REPORT'!$E$6:$E$37,$B20)/60)</f>
        <v/>
      </c>
      <c r="H20" s="89" t="str">
        <f ca="1">IF($B20="","",SUMIFS('TIME REPORT'!$N$6:$N$37,'TIME REPORT'!$A$6:$A$37,H$4,'TIME REPORT'!$E$6:$E$37,$B20)+SUMIFS('TIME REPORT'!$P$6:$P$37,'TIME REPORT'!$A$6:$A$37,H$4,'TIME REPORT'!$E$6:$E$37,$B20)/60)</f>
        <v/>
      </c>
      <c r="I20" s="89" t="str">
        <f ca="1">IF($B20="","",SUMIFS('TIME REPORT'!$N$6:$N$37,'TIME REPORT'!$A$6:$A$37,I$4,'TIME REPORT'!$E$6:$E$37,$B20)+SUMIFS('TIME REPORT'!$P$6:$P$37,'TIME REPORT'!$A$6:$A$37,I$4,'TIME REPORT'!$E$6:$E$37,$B20)/60)</f>
        <v/>
      </c>
      <c r="J20" s="89" t="str">
        <f ca="1">IF($B20="","",SUMIFS('TIME REPORT'!$N$6:$N$37,'TIME REPORT'!$A$6:$A$37,J$4,'TIME REPORT'!$E$6:$E$37,$B20)+SUMIFS('TIME REPORT'!$P$6:$P$37,'TIME REPORT'!$A$6:$A$37,J$4,'TIME REPORT'!$E$6:$E$37,$B20)/60)</f>
        <v/>
      </c>
      <c r="K20" s="89" t="str">
        <f ca="1">IF($B20="","",SUMIFS('TIME REPORT'!$N$6:$N$37,'TIME REPORT'!$A$6:$A$37,K$4,'TIME REPORT'!$E$6:$E$37,$B20)+SUMIFS('TIME REPORT'!$P$6:$P$37,'TIME REPORT'!$A$6:$A$37,K$4,'TIME REPORT'!$E$6:$E$37,$B20)/60)</f>
        <v/>
      </c>
      <c r="L20" s="89" t="str">
        <f ca="1">IF($B20="","",SUMIFS('TIME REPORT'!$N$6:$N$37,'TIME REPORT'!$A$6:$A$37,L$4,'TIME REPORT'!$E$6:$E$37,$B20)+SUMIFS('TIME REPORT'!$P$6:$P$37,'TIME REPORT'!$A$6:$A$37,L$4,'TIME REPORT'!$E$6:$E$37,$B20)/60)</f>
        <v/>
      </c>
      <c r="M20" s="89" t="str">
        <f ca="1">IF($B20="","",SUMIFS('TIME REPORT'!$N$6:$N$37,'TIME REPORT'!$A$6:$A$37,M$4,'TIME REPORT'!$E$6:$E$37,$B20)+SUMIFS('TIME REPORT'!$P$6:$P$37,'TIME REPORT'!$A$6:$A$37,M$4,'TIME REPORT'!$E$6:$E$37,$B20)/60)</f>
        <v/>
      </c>
      <c r="N20" s="89" t="str">
        <f ca="1">IF($B20="","",SUMIFS('TIME REPORT'!$N$6:$N$37,'TIME REPORT'!$A$6:$A$37,N$4,'TIME REPORT'!$E$6:$E$37,$B20)+SUMIFS('TIME REPORT'!$P$6:$P$37,'TIME REPORT'!$A$6:$A$37,N$4,'TIME REPORT'!$E$6:$E$37,$B20)/60)</f>
        <v/>
      </c>
      <c r="O20" s="89" t="str">
        <f ca="1">IF($B20="","",SUMIFS('TIME REPORT'!$N$6:$N$37,'TIME REPORT'!$A$6:$A$37,O$4,'TIME REPORT'!$E$6:$E$37,$B20)+SUMIFS('TIME REPORT'!$P$6:$P$37,'TIME REPORT'!$A$6:$A$37,O$4,'TIME REPORT'!$E$6:$E$37,$B20)/60)</f>
        <v/>
      </c>
      <c r="P20" s="89" t="str">
        <f ca="1">IF($B20="","",SUMIFS('TIME REPORT'!$N$6:$N$37,'TIME REPORT'!$A$6:$A$37,P$4,'TIME REPORT'!$E$6:$E$37,$B20)+SUMIFS('TIME REPORT'!$P$6:$P$37,'TIME REPORT'!$A$6:$A$37,P$4,'TIME REPORT'!$E$6:$E$37,$B20)/60)</f>
        <v/>
      </c>
      <c r="Q20" s="89" t="str">
        <f ca="1">IF($B20="","",SUMIFS('TIME REPORT'!$N$6:$N$37,'TIME REPORT'!$A$6:$A$37,Q$4,'TIME REPORT'!$E$6:$E$37,$B20)+SUMIFS('TIME REPORT'!$P$6:$P$37,'TIME REPORT'!$A$6:$A$37,Q$4,'TIME REPORT'!$E$6:$E$37,$B20)/60)</f>
        <v/>
      </c>
      <c r="R20" s="89" t="str">
        <f ca="1">IF($B20="","",SUMIFS('TIME REPORT'!$N$6:$N$37,'TIME REPORT'!$A$6:$A$37,R$4,'TIME REPORT'!$E$6:$E$37,$B20)+SUMIFS('TIME REPORT'!$P$6:$P$37,'TIME REPORT'!$A$6:$A$37,R$4,'TIME REPORT'!$E$6:$E$37,$B20)/60)</f>
        <v/>
      </c>
      <c r="S20" s="89" t="str">
        <f ca="1">IF($B20="","",SUMIFS('TIME REPORT'!$N$6:$N$37,'TIME REPORT'!$A$6:$A$37,S$4,'TIME REPORT'!$E$6:$E$37,$B20)+SUMIFS('TIME REPORT'!$P$6:$P$37,'TIME REPORT'!$A$6:$A$37,S$4,'TIME REPORT'!$E$6:$E$37,$B20)/60)</f>
        <v/>
      </c>
      <c r="T20" s="89" t="str">
        <f ca="1">IF($B20="","",SUMIFS('TIME REPORT'!$N$6:$N$37,'TIME REPORT'!$A$6:$A$37,T$4,'TIME REPORT'!$E$6:$E$37,$B20)+SUMIFS('TIME REPORT'!$P$6:$P$37,'TIME REPORT'!$A$6:$A$37,T$4,'TIME REPORT'!$E$6:$E$37,$B20)/60)</f>
        <v/>
      </c>
      <c r="U20" s="89" t="str">
        <f ca="1">IF($B20="","",SUMIFS('TIME REPORT'!$N$6:$N$37,'TIME REPORT'!$A$6:$A$37,U$4,'TIME REPORT'!$E$6:$E$37,$B20)+SUMIFS('TIME REPORT'!$P$6:$P$37,'TIME REPORT'!$A$6:$A$37,U$4,'TIME REPORT'!$E$6:$E$37,$B20)/60)</f>
        <v/>
      </c>
      <c r="V20" s="89" t="str">
        <f ca="1">IF($B20="","",SUMIFS('TIME REPORT'!$N$6:$N$37,'TIME REPORT'!$A$6:$A$37,V$4,'TIME REPORT'!$E$6:$E$37,$B20)+SUMIFS('TIME REPORT'!$P$6:$P$37,'TIME REPORT'!$A$6:$A$37,V$4,'TIME REPORT'!$E$6:$E$37,$B20)/60)</f>
        <v/>
      </c>
      <c r="W20" s="89" t="str">
        <f ca="1">IF($B20="","",SUMIFS('TIME REPORT'!$N$6:$N$37,'TIME REPORT'!$A$6:$A$37,W$4,'TIME REPORT'!$E$6:$E$37,$B20)+SUMIFS('TIME REPORT'!$P$6:$P$37,'TIME REPORT'!$A$6:$A$37,W$4,'TIME REPORT'!$E$6:$E$37,$B20)/60)</f>
        <v/>
      </c>
      <c r="X20" s="89" t="str">
        <f ca="1">IF($B20="","",SUMIFS('TIME REPORT'!$N$6:$N$37,'TIME REPORT'!$A$6:$A$37,X$4,'TIME REPORT'!$E$6:$E$37,$B20)+SUMIFS('TIME REPORT'!$P$6:$P$37,'TIME REPORT'!$A$6:$A$37,X$4,'TIME REPORT'!$E$6:$E$37,$B20)/60)</f>
        <v/>
      </c>
      <c r="Y20" s="89" t="str">
        <f ca="1">IF($B20="","",SUMIFS('TIME REPORT'!$N$6:$N$37,'TIME REPORT'!$A$6:$A$37,Y$4,'TIME REPORT'!$E$6:$E$37,$B20)+SUMIFS('TIME REPORT'!$P$6:$P$37,'TIME REPORT'!$A$6:$A$37,Y$4,'TIME REPORT'!$E$6:$E$37,$B20)/60)</f>
        <v/>
      </c>
      <c r="Z20" s="89" t="str">
        <f ca="1">IF($B20="","",SUMIFS('TIME REPORT'!$N$6:$N$37,'TIME REPORT'!$A$6:$A$37,Z$4,'TIME REPORT'!$E$6:$E$37,$B20)+SUMIFS('TIME REPORT'!$P$6:$P$37,'TIME REPORT'!$A$6:$A$37,Z$4,'TIME REPORT'!$E$6:$E$37,$B20)/60)</f>
        <v/>
      </c>
      <c r="AA20" s="89" t="str">
        <f ca="1">IF($B20="","",SUMIFS('TIME REPORT'!$N$6:$N$37,'TIME REPORT'!$A$6:$A$37,AA$4,'TIME REPORT'!$E$6:$E$37,$B20)+SUMIFS('TIME REPORT'!$P$6:$P$37,'TIME REPORT'!$A$6:$A$37,AA$4,'TIME REPORT'!$E$6:$E$37,$B20)/60)</f>
        <v/>
      </c>
      <c r="AB20" s="89" t="str">
        <f ca="1">IF($B20="","",SUMIFS('TIME REPORT'!$N$6:$N$37,'TIME REPORT'!$A$6:$A$37,AB$4,'TIME REPORT'!$E$6:$E$37,$B20)+SUMIFS('TIME REPORT'!$P$6:$P$37,'TIME REPORT'!$A$6:$A$37,AB$4,'TIME REPORT'!$E$6:$E$37,$B20)/60)</f>
        <v/>
      </c>
      <c r="AC20" s="89" t="str">
        <f ca="1">IF($B20="","",SUMIFS('TIME REPORT'!$N$6:$N$37,'TIME REPORT'!$A$6:$A$37,AC$4,'TIME REPORT'!$E$6:$E$37,$B20)+SUMIFS('TIME REPORT'!$P$6:$P$37,'TIME REPORT'!$A$6:$A$37,AC$4,'TIME REPORT'!$E$6:$E$37,$B20)/60)</f>
        <v/>
      </c>
      <c r="AD20" s="89" t="str">
        <f ca="1">IF($B20="","",SUMIFS('TIME REPORT'!$N$6:$N$37,'TIME REPORT'!$A$6:$A$37,AD$4,'TIME REPORT'!$E$6:$E$37,$B20)+SUMIFS('TIME REPORT'!$P$6:$P$37,'TIME REPORT'!$A$6:$A$37,AD$4,'TIME REPORT'!$E$6:$E$37,$B20)/60)</f>
        <v/>
      </c>
      <c r="AE20" s="89" t="str">
        <f ca="1">IF($B20="","",SUMIFS('TIME REPORT'!$N$6:$N$37,'TIME REPORT'!$A$6:$A$37,AE$4,'TIME REPORT'!$E$6:$E$37,$B20)+SUMIFS('TIME REPORT'!$P$6:$P$37,'TIME REPORT'!$A$6:$A$37,AE$4,'TIME REPORT'!$E$6:$E$37,$B20)/60)</f>
        <v/>
      </c>
      <c r="AF20" s="89" t="str">
        <f ca="1">IF($B20="","",SUMIFS('TIME REPORT'!$N$6:$N$37,'TIME REPORT'!$A$6:$A$37,AF$4,'TIME REPORT'!$E$6:$E$37,$B20)+SUMIFS('TIME REPORT'!$P$6:$P$37,'TIME REPORT'!$A$6:$A$37,AF$4,'TIME REPORT'!$E$6:$E$37,$B20)/60)</f>
        <v/>
      </c>
      <c r="AG20" s="89" t="str">
        <f ca="1">IF($B20="","",SUMIFS('TIME REPORT'!$N$6:$N$37,'TIME REPORT'!$A$6:$A$37,AG$4,'TIME REPORT'!$E$6:$E$37,$B20)+SUMIFS('TIME REPORT'!$P$6:$P$37,'TIME REPORT'!$A$6:$A$37,AG$4,'TIME REPORT'!$E$6:$E$37,$B20)/60)</f>
        <v/>
      </c>
      <c r="AH20" s="89" t="str">
        <f ca="1">IF($B20="","",SUMIFS('TIME REPORT'!$N$6:$N$37,'TIME REPORT'!$A$6:$A$37,AH$4,'TIME REPORT'!$E$6:$E$37,$B20)+SUMIFS('TIME REPORT'!$P$6:$P$37,'TIME REPORT'!$A$6:$A$37,AH$4,'TIME REPORT'!$E$6:$E$37,$B20)/60)</f>
        <v/>
      </c>
      <c r="AI20" s="89" t="str">
        <f ca="1">IF($B20="","",SUMIFS('TIME REPORT'!$N$6:$N$37,'TIME REPORT'!$A$6:$A$37,AI$4,'TIME REPORT'!$E$6:$E$37,$B20)+SUMIFS('TIME REPORT'!$P$6:$P$37,'TIME REPORT'!$A$6:$A$37,AI$4,'TIME REPORT'!$E$6:$E$37,$B20)/60)</f>
        <v/>
      </c>
      <c r="AJ20" s="89" t="str">
        <f ca="1">IF($B20="","",SUMIFS('TIME REPORT'!$N$6:$N$37,'TIME REPORT'!$A$6:$A$37,AJ$4,'TIME REPORT'!$E$6:$E$37,$B20)+SUMIFS('TIME REPORT'!$P$6:$P$37,'TIME REPORT'!$A$6:$A$37,AJ$4,'TIME REPORT'!$E$6:$E$37,$B20)/60)</f>
        <v/>
      </c>
      <c r="AK20" s="89" t="str">
        <f ca="1">IF($B20="","",SUMIFS('TIME REPORT'!$N$6:$N$37,'TIME REPORT'!$A$6:$A$37,AK$4,'TIME REPORT'!$E$6:$E$37,$B20)+SUMIFS('TIME REPORT'!$P$6:$P$37,'TIME REPORT'!$A$6:$A$37,AK$4,'TIME REPORT'!$E$6:$E$37,$B20)/60)</f>
        <v/>
      </c>
      <c r="AL20" s="86">
        <f t="shared" ca="1" si="0"/>
        <v>0</v>
      </c>
      <c r="AM20" s="38"/>
      <c r="AN20" s="38"/>
      <c r="AO20" s="38"/>
      <c r="AP20" s="23"/>
      <c r="AQ20" s="23"/>
      <c r="AR20" s="23"/>
      <c r="AS20"/>
      <c r="AT20"/>
      <c r="AU20"/>
      <c r="AV20"/>
      <c r="AW20"/>
      <c r="AX20"/>
      <c r="AY20"/>
      <c r="AZ20"/>
      <c r="BA20"/>
    </row>
    <row r="21" spans="1:53" ht="29.4" hidden="1" thickBot="1">
      <c r="A21" s="33">
        <v>16</v>
      </c>
      <c r="B21" s="88" t="str" cm="1">
        <f t="array" aca="1" ref="B21" ca="1">IFERROR(INDEX(_xlfn._xlws.FILTER(ClientCodeList,COUNTIF('TIME REPORT'!$E$6:$E$37,ClientCodeList)&gt;0),ROWS($B$6:B21)),"")</f>
        <v/>
      </c>
      <c r="C21" s="34"/>
      <c r="D21" s="88" t="str" cm="1">
        <f t="array" aca="1" ref="D21" ca="1">IF($B21="","",IFERROR(INDEX('TIME REPORT'!$H$6:$H$37,MATCH(1,('TIME REPORT'!$E$6:$E$37=$B21)*('TIME REPORT'!$H$6:$H$37&lt;&gt;""),0)),""))</f>
        <v/>
      </c>
      <c r="E21" s="34"/>
      <c r="F21" s="39"/>
      <c r="G21" s="89" t="str">
        <f ca="1">IF($B21="","",SUMIFS('TIME REPORT'!$N$6:$N$37,'TIME REPORT'!$A$6:$A$37,G$4,'TIME REPORT'!$E$6:$E$37,$B21)+SUMIFS('TIME REPORT'!$P$6:$P$37,'TIME REPORT'!$A$6:$A$37,G$4,'TIME REPORT'!$E$6:$E$37,$B21)/60)</f>
        <v/>
      </c>
      <c r="H21" s="89" t="str">
        <f ca="1">IF($B21="","",SUMIFS('TIME REPORT'!$N$6:$N$37,'TIME REPORT'!$A$6:$A$37,H$4,'TIME REPORT'!$E$6:$E$37,$B21)+SUMIFS('TIME REPORT'!$P$6:$P$37,'TIME REPORT'!$A$6:$A$37,H$4,'TIME REPORT'!$E$6:$E$37,$B21)/60)</f>
        <v/>
      </c>
      <c r="I21" s="89" t="str">
        <f ca="1">IF($B21="","",SUMIFS('TIME REPORT'!$N$6:$N$37,'TIME REPORT'!$A$6:$A$37,I$4,'TIME REPORT'!$E$6:$E$37,$B21)+SUMIFS('TIME REPORT'!$P$6:$P$37,'TIME REPORT'!$A$6:$A$37,I$4,'TIME REPORT'!$E$6:$E$37,$B21)/60)</f>
        <v/>
      </c>
      <c r="J21" s="89" t="str">
        <f ca="1">IF($B21="","",SUMIFS('TIME REPORT'!$N$6:$N$37,'TIME REPORT'!$A$6:$A$37,J$4,'TIME REPORT'!$E$6:$E$37,$B21)+SUMIFS('TIME REPORT'!$P$6:$P$37,'TIME REPORT'!$A$6:$A$37,J$4,'TIME REPORT'!$E$6:$E$37,$B21)/60)</f>
        <v/>
      </c>
      <c r="K21" s="89" t="str">
        <f ca="1">IF($B21="","",SUMIFS('TIME REPORT'!$N$6:$N$37,'TIME REPORT'!$A$6:$A$37,K$4,'TIME REPORT'!$E$6:$E$37,$B21)+SUMIFS('TIME REPORT'!$P$6:$P$37,'TIME REPORT'!$A$6:$A$37,K$4,'TIME REPORT'!$E$6:$E$37,$B21)/60)</f>
        <v/>
      </c>
      <c r="L21" s="89" t="str">
        <f ca="1">IF($B21="","",SUMIFS('TIME REPORT'!$N$6:$N$37,'TIME REPORT'!$A$6:$A$37,L$4,'TIME REPORT'!$E$6:$E$37,$B21)+SUMIFS('TIME REPORT'!$P$6:$P$37,'TIME REPORT'!$A$6:$A$37,L$4,'TIME REPORT'!$E$6:$E$37,$B21)/60)</f>
        <v/>
      </c>
      <c r="M21" s="89" t="str">
        <f ca="1">IF($B21="","",SUMIFS('TIME REPORT'!$N$6:$N$37,'TIME REPORT'!$A$6:$A$37,M$4,'TIME REPORT'!$E$6:$E$37,$B21)+SUMIFS('TIME REPORT'!$P$6:$P$37,'TIME REPORT'!$A$6:$A$37,M$4,'TIME REPORT'!$E$6:$E$37,$B21)/60)</f>
        <v/>
      </c>
      <c r="N21" s="89" t="str">
        <f ca="1">IF($B21="","",SUMIFS('TIME REPORT'!$N$6:$N$37,'TIME REPORT'!$A$6:$A$37,N$4,'TIME REPORT'!$E$6:$E$37,$B21)+SUMIFS('TIME REPORT'!$P$6:$P$37,'TIME REPORT'!$A$6:$A$37,N$4,'TIME REPORT'!$E$6:$E$37,$B21)/60)</f>
        <v/>
      </c>
      <c r="O21" s="89" t="str">
        <f ca="1">IF($B21="","",SUMIFS('TIME REPORT'!$N$6:$N$37,'TIME REPORT'!$A$6:$A$37,O$4,'TIME REPORT'!$E$6:$E$37,$B21)+SUMIFS('TIME REPORT'!$P$6:$P$37,'TIME REPORT'!$A$6:$A$37,O$4,'TIME REPORT'!$E$6:$E$37,$B21)/60)</f>
        <v/>
      </c>
      <c r="P21" s="89" t="str">
        <f ca="1">IF($B21="","",SUMIFS('TIME REPORT'!$N$6:$N$37,'TIME REPORT'!$A$6:$A$37,P$4,'TIME REPORT'!$E$6:$E$37,$B21)+SUMIFS('TIME REPORT'!$P$6:$P$37,'TIME REPORT'!$A$6:$A$37,P$4,'TIME REPORT'!$E$6:$E$37,$B21)/60)</f>
        <v/>
      </c>
      <c r="Q21" s="89" t="str">
        <f ca="1">IF($B21="","",SUMIFS('TIME REPORT'!$N$6:$N$37,'TIME REPORT'!$A$6:$A$37,Q$4,'TIME REPORT'!$E$6:$E$37,$B21)+SUMIFS('TIME REPORT'!$P$6:$P$37,'TIME REPORT'!$A$6:$A$37,Q$4,'TIME REPORT'!$E$6:$E$37,$B21)/60)</f>
        <v/>
      </c>
      <c r="R21" s="89" t="str">
        <f ca="1">IF($B21="","",SUMIFS('TIME REPORT'!$N$6:$N$37,'TIME REPORT'!$A$6:$A$37,R$4,'TIME REPORT'!$E$6:$E$37,$B21)+SUMIFS('TIME REPORT'!$P$6:$P$37,'TIME REPORT'!$A$6:$A$37,R$4,'TIME REPORT'!$E$6:$E$37,$B21)/60)</f>
        <v/>
      </c>
      <c r="S21" s="89" t="str">
        <f ca="1">IF($B21="","",SUMIFS('TIME REPORT'!$N$6:$N$37,'TIME REPORT'!$A$6:$A$37,S$4,'TIME REPORT'!$E$6:$E$37,$B21)+SUMIFS('TIME REPORT'!$P$6:$P$37,'TIME REPORT'!$A$6:$A$37,S$4,'TIME REPORT'!$E$6:$E$37,$B21)/60)</f>
        <v/>
      </c>
      <c r="T21" s="89" t="str">
        <f ca="1">IF($B21="","",SUMIFS('TIME REPORT'!$N$6:$N$37,'TIME REPORT'!$A$6:$A$37,T$4,'TIME REPORT'!$E$6:$E$37,$B21)+SUMIFS('TIME REPORT'!$P$6:$P$37,'TIME REPORT'!$A$6:$A$37,T$4,'TIME REPORT'!$E$6:$E$37,$B21)/60)</f>
        <v/>
      </c>
      <c r="U21" s="89" t="str">
        <f ca="1">IF($B21="","",SUMIFS('TIME REPORT'!$N$6:$N$37,'TIME REPORT'!$A$6:$A$37,U$4,'TIME REPORT'!$E$6:$E$37,$B21)+SUMIFS('TIME REPORT'!$P$6:$P$37,'TIME REPORT'!$A$6:$A$37,U$4,'TIME REPORT'!$E$6:$E$37,$B21)/60)</f>
        <v/>
      </c>
      <c r="V21" s="89" t="str">
        <f ca="1">IF($B21="","",SUMIFS('TIME REPORT'!$N$6:$N$37,'TIME REPORT'!$A$6:$A$37,V$4,'TIME REPORT'!$E$6:$E$37,$B21)+SUMIFS('TIME REPORT'!$P$6:$P$37,'TIME REPORT'!$A$6:$A$37,V$4,'TIME REPORT'!$E$6:$E$37,$B21)/60)</f>
        <v/>
      </c>
      <c r="W21" s="89" t="str">
        <f ca="1">IF($B21="","",SUMIFS('TIME REPORT'!$N$6:$N$37,'TIME REPORT'!$A$6:$A$37,W$4,'TIME REPORT'!$E$6:$E$37,$B21)+SUMIFS('TIME REPORT'!$P$6:$P$37,'TIME REPORT'!$A$6:$A$37,W$4,'TIME REPORT'!$E$6:$E$37,$B21)/60)</f>
        <v/>
      </c>
      <c r="X21" s="89" t="str">
        <f ca="1">IF($B21="","",SUMIFS('TIME REPORT'!$N$6:$N$37,'TIME REPORT'!$A$6:$A$37,X$4,'TIME REPORT'!$E$6:$E$37,$B21)+SUMIFS('TIME REPORT'!$P$6:$P$37,'TIME REPORT'!$A$6:$A$37,X$4,'TIME REPORT'!$E$6:$E$37,$B21)/60)</f>
        <v/>
      </c>
      <c r="Y21" s="89" t="str">
        <f ca="1">IF($B21="","",SUMIFS('TIME REPORT'!$N$6:$N$37,'TIME REPORT'!$A$6:$A$37,Y$4,'TIME REPORT'!$E$6:$E$37,$B21)+SUMIFS('TIME REPORT'!$P$6:$P$37,'TIME REPORT'!$A$6:$A$37,Y$4,'TIME REPORT'!$E$6:$E$37,$B21)/60)</f>
        <v/>
      </c>
      <c r="Z21" s="89" t="str">
        <f ca="1">IF($B21="","",SUMIFS('TIME REPORT'!$N$6:$N$37,'TIME REPORT'!$A$6:$A$37,Z$4,'TIME REPORT'!$E$6:$E$37,$B21)+SUMIFS('TIME REPORT'!$P$6:$P$37,'TIME REPORT'!$A$6:$A$37,Z$4,'TIME REPORT'!$E$6:$E$37,$B21)/60)</f>
        <v/>
      </c>
      <c r="AA21" s="89" t="str">
        <f ca="1">IF($B21="","",SUMIFS('TIME REPORT'!$N$6:$N$37,'TIME REPORT'!$A$6:$A$37,AA$4,'TIME REPORT'!$E$6:$E$37,$B21)+SUMIFS('TIME REPORT'!$P$6:$P$37,'TIME REPORT'!$A$6:$A$37,AA$4,'TIME REPORT'!$E$6:$E$37,$B21)/60)</f>
        <v/>
      </c>
      <c r="AB21" s="89" t="str">
        <f ca="1">IF($B21="","",SUMIFS('TIME REPORT'!$N$6:$N$37,'TIME REPORT'!$A$6:$A$37,AB$4,'TIME REPORT'!$E$6:$E$37,$B21)+SUMIFS('TIME REPORT'!$P$6:$P$37,'TIME REPORT'!$A$6:$A$37,AB$4,'TIME REPORT'!$E$6:$E$37,$B21)/60)</f>
        <v/>
      </c>
      <c r="AC21" s="89" t="str">
        <f ca="1">IF($B21="","",SUMIFS('TIME REPORT'!$N$6:$N$37,'TIME REPORT'!$A$6:$A$37,AC$4,'TIME REPORT'!$E$6:$E$37,$B21)+SUMIFS('TIME REPORT'!$P$6:$P$37,'TIME REPORT'!$A$6:$A$37,AC$4,'TIME REPORT'!$E$6:$E$37,$B21)/60)</f>
        <v/>
      </c>
      <c r="AD21" s="89" t="str">
        <f ca="1">IF($B21="","",SUMIFS('TIME REPORT'!$N$6:$N$37,'TIME REPORT'!$A$6:$A$37,AD$4,'TIME REPORT'!$E$6:$E$37,$B21)+SUMIFS('TIME REPORT'!$P$6:$P$37,'TIME REPORT'!$A$6:$A$37,AD$4,'TIME REPORT'!$E$6:$E$37,$B21)/60)</f>
        <v/>
      </c>
      <c r="AE21" s="89" t="str">
        <f ca="1">IF($B21="","",SUMIFS('TIME REPORT'!$N$6:$N$37,'TIME REPORT'!$A$6:$A$37,AE$4,'TIME REPORT'!$E$6:$E$37,$B21)+SUMIFS('TIME REPORT'!$P$6:$P$37,'TIME REPORT'!$A$6:$A$37,AE$4,'TIME REPORT'!$E$6:$E$37,$B21)/60)</f>
        <v/>
      </c>
      <c r="AF21" s="89" t="str">
        <f ca="1">IF($B21="","",SUMIFS('TIME REPORT'!$N$6:$N$37,'TIME REPORT'!$A$6:$A$37,AF$4,'TIME REPORT'!$E$6:$E$37,$B21)+SUMIFS('TIME REPORT'!$P$6:$P$37,'TIME REPORT'!$A$6:$A$37,AF$4,'TIME REPORT'!$E$6:$E$37,$B21)/60)</f>
        <v/>
      </c>
      <c r="AG21" s="89" t="str">
        <f ca="1">IF($B21="","",SUMIFS('TIME REPORT'!$N$6:$N$37,'TIME REPORT'!$A$6:$A$37,AG$4,'TIME REPORT'!$E$6:$E$37,$B21)+SUMIFS('TIME REPORT'!$P$6:$P$37,'TIME REPORT'!$A$6:$A$37,AG$4,'TIME REPORT'!$E$6:$E$37,$B21)/60)</f>
        <v/>
      </c>
      <c r="AH21" s="89" t="str">
        <f ca="1">IF($B21="","",SUMIFS('TIME REPORT'!$N$6:$N$37,'TIME REPORT'!$A$6:$A$37,AH$4,'TIME REPORT'!$E$6:$E$37,$B21)+SUMIFS('TIME REPORT'!$P$6:$P$37,'TIME REPORT'!$A$6:$A$37,AH$4,'TIME REPORT'!$E$6:$E$37,$B21)/60)</f>
        <v/>
      </c>
      <c r="AI21" s="89" t="str">
        <f ca="1">IF($B21="","",SUMIFS('TIME REPORT'!$N$6:$N$37,'TIME REPORT'!$A$6:$A$37,AI$4,'TIME REPORT'!$E$6:$E$37,$B21)+SUMIFS('TIME REPORT'!$P$6:$P$37,'TIME REPORT'!$A$6:$A$37,AI$4,'TIME REPORT'!$E$6:$E$37,$B21)/60)</f>
        <v/>
      </c>
      <c r="AJ21" s="89" t="str">
        <f ca="1">IF($B21="","",SUMIFS('TIME REPORT'!$N$6:$N$37,'TIME REPORT'!$A$6:$A$37,AJ$4,'TIME REPORT'!$E$6:$E$37,$B21)+SUMIFS('TIME REPORT'!$P$6:$P$37,'TIME REPORT'!$A$6:$A$37,AJ$4,'TIME REPORT'!$E$6:$E$37,$B21)/60)</f>
        <v/>
      </c>
      <c r="AK21" s="89" t="str">
        <f ca="1">IF($B21="","",SUMIFS('TIME REPORT'!$N$6:$N$37,'TIME REPORT'!$A$6:$A$37,AK$4,'TIME REPORT'!$E$6:$E$37,$B21)+SUMIFS('TIME REPORT'!$P$6:$P$37,'TIME REPORT'!$A$6:$A$37,AK$4,'TIME REPORT'!$E$6:$E$37,$B21)/60)</f>
        <v/>
      </c>
      <c r="AL21" s="86">
        <f t="shared" ca="1" si="0"/>
        <v>0</v>
      </c>
      <c r="AM21" s="38"/>
      <c r="AN21" s="38"/>
      <c r="AO21" s="38"/>
      <c r="AP21" s="23"/>
      <c r="AQ21" s="23"/>
      <c r="AR21" s="23"/>
      <c r="AS21"/>
      <c r="AT21"/>
      <c r="AU21"/>
      <c r="AV21"/>
      <c r="AW21"/>
      <c r="AX21"/>
      <c r="AY21"/>
      <c r="AZ21"/>
      <c r="BA21"/>
    </row>
    <row r="22" spans="1:53" ht="29.4" thickBot="1">
      <c r="A22" s="40" t="s">
        <v>92</v>
      </c>
      <c r="B22" s="41"/>
      <c r="C22" s="41"/>
      <c r="D22" s="41"/>
      <c r="E22" s="41"/>
      <c r="F22" s="42"/>
      <c r="G22" s="90">
        <f ca="1">SUM(G6:G21)</f>
        <v>0</v>
      </c>
      <c r="H22" s="90">
        <f t="shared" ref="H22:AK22" ca="1" si="1">SUM(H6:H21)</f>
        <v>0</v>
      </c>
      <c r="I22" s="90">
        <f t="shared" ca="1" si="1"/>
        <v>0</v>
      </c>
      <c r="J22" s="90">
        <f t="shared" ca="1" si="1"/>
        <v>0</v>
      </c>
      <c r="K22" s="90">
        <f t="shared" ca="1" si="1"/>
        <v>0</v>
      </c>
      <c r="L22" s="90">
        <f t="shared" ca="1" si="1"/>
        <v>0</v>
      </c>
      <c r="M22" s="90">
        <f t="shared" ca="1" si="1"/>
        <v>0</v>
      </c>
      <c r="N22" s="90">
        <f t="shared" ca="1" si="1"/>
        <v>0</v>
      </c>
      <c r="O22" s="90">
        <f t="shared" ca="1" si="1"/>
        <v>0</v>
      </c>
      <c r="P22" s="90">
        <f t="shared" ca="1" si="1"/>
        <v>0</v>
      </c>
      <c r="Q22" s="90">
        <f t="shared" ca="1" si="1"/>
        <v>0</v>
      </c>
      <c r="R22" s="90">
        <f t="shared" ca="1" si="1"/>
        <v>0</v>
      </c>
      <c r="S22" s="90">
        <f t="shared" ca="1" si="1"/>
        <v>0</v>
      </c>
      <c r="T22" s="90">
        <f t="shared" ca="1" si="1"/>
        <v>0</v>
      </c>
      <c r="U22" s="90">
        <f t="shared" ca="1" si="1"/>
        <v>0</v>
      </c>
      <c r="V22" s="90">
        <f t="shared" ca="1" si="1"/>
        <v>0</v>
      </c>
      <c r="W22" s="90">
        <f t="shared" ca="1" si="1"/>
        <v>0</v>
      </c>
      <c r="X22" s="90">
        <f t="shared" ca="1" si="1"/>
        <v>0</v>
      </c>
      <c r="Y22" s="90">
        <f t="shared" ca="1" si="1"/>
        <v>0</v>
      </c>
      <c r="Z22" s="90">
        <f t="shared" ca="1" si="1"/>
        <v>0</v>
      </c>
      <c r="AA22" s="90">
        <f t="shared" ca="1" si="1"/>
        <v>0</v>
      </c>
      <c r="AB22" s="90">
        <f t="shared" ca="1" si="1"/>
        <v>0</v>
      </c>
      <c r="AC22" s="90">
        <f t="shared" ca="1" si="1"/>
        <v>0</v>
      </c>
      <c r="AD22" s="90">
        <f t="shared" ca="1" si="1"/>
        <v>0</v>
      </c>
      <c r="AE22" s="90">
        <f t="shared" ca="1" si="1"/>
        <v>0</v>
      </c>
      <c r="AF22" s="90">
        <f t="shared" ca="1" si="1"/>
        <v>0</v>
      </c>
      <c r="AG22" s="90">
        <f t="shared" ca="1" si="1"/>
        <v>0</v>
      </c>
      <c r="AH22" s="90">
        <f t="shared" ca="1" si="1"/>
        <v>0</v>
      </c>
      <c r="AI22" s="90">
        <f t="shared" ca="1" si="1"/>
        <v>0</v>
      </c>
      <c r="AJ22" s="90">
        <f t="shared" ca="1" si="1"/>
        <v>0</v>
      </c>
      <c r="AK22" s="90">
        <f t="shared" ca="1" si="1"/>
        <v>0</v>
      </c>
      <c r="AL22" s="91">
        <f ca="1">SUM(AL6:AL21)</f>
        <v>0</v>
      </c>
      <c r="AM22" s="43"/>
      <c r="AN22" s="43"/>
      <c r="AO22" s="43"/>
      <c r="AP22" s="23"/>
      <c r="AQ22" s="23"/>
      <c r="AR22" s="23"/>
      <c r="AS22"/>
      <c r="AT22"/>
      <c r="AU22"/>
      <c r="AV22"/>
      <c r="AW22"/>
      <c r="AX22"/>
      <c r="AY22"/>
      <c r="AZ22"/>
      <c r="BA22"/>
    </row>
    <row r="23" spans="1:53">
      <c r="A23" s="44" t="s">
        <v>27</v>
      </c>
      <c r="B23" s="45"/>
      <c r="C23" s="45"/>
      <c r="D23" s="45"/>
      <c r="E23" s="45"/>
      <c r="F23" s="46"/>
      <c r="G23" s="37"/>
      <c r="H23" s="37"/>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47"/>
      <c r="AM23" s="48"/>
      <c r="AN23" s="48"/>
      <c r="AO23" s="48"/>
      <c r="AP23" s="23"/>
      <c r="AQ23" s="23"/>
      <c r="AR23" s="23"/>
      <c r="AS23"/>
      <c r="AT23"/>
      <c r="AU23"/>
      <c r="AV23"/>
      <c r="AW23"/>
      <c r="AX23"/>
      <c r="AY23"/>
      <c r="AZ23"/>
      <c r="BA23"/>
    </row>
    <row r="24" spans="1:53">
      <c r="A24" s="49" t="s">
        <v>298</v>
      </c>
      <c r="B24" s="50"/>
      <c r="C24" s="50"/>
      <c r="D24" s="50"/>
      <c r="E24" s="50"/>
      <c r="F24" s="51"/>
      <c r="G24" s="85">
        <f>IF("OFFICE"="","",SUMIFS('TIME REPORT'!$N$6:$N$37,'TIME REPORT'!$A$6:$A$37,G$4,'TIME REPORT'!$E$6:$E$37,"OFFICE")+SUMIFS('TIME REPORT'!$P$6:$P$37,'TIME REPORT'!$A$6:$A$37,G$4,'TIME REPORT'!$E$6:$E$37,"OFFICE")/60)</f>
        <v>0</v>
      </c>
      <c r="H24" s="85">
        <f>IF("OFFICE"="","",SUMIFS('TIME REPORT'!$N$6:$N$37,'TIME REPORT'!$A$6:$A$37,H$4,'TIME REPORT'!$E$6:$E$37,"OFFICE")+SUMIFS('TIME REPORT'!$P$6:$P$37,'TIME REPORT'!$A$6:$A$37,H$4,'TIME REPORT'!$E$6:$E$37,"OFFICE")/60)</f>
        <v>0</v>
      </c>
      <c r="I24" s="85">
        <f>IF("OFFICE"="","",SUMIFS('TIME REPORT'!$N$6:$N$37,'TIME REPORT'!$A$6:$A$37,I$4,'TIME REPORT'!$E$6:$E$37,"OFFICE")+SUMIFS('TIME REPORT'!$P$6:$P$37,'TIME REPORT'!$A$6:$A$37,I$4,'TIME REPORT'!$E$6:$E$37,"OFFICE")/60)</f>
        <v>0</v>
      </c>
      <c r="J24" s="85">
        <f>IF("OFFICE"="","",SUMIFS('TIME REPORT'!$N$6:$N$37,'TIME REPORT'!$A$6:$A$37,J$4,'TIME REPORT'!$E$6:$E$37,"OFFICE")+SUMIFS('TIME REPORT'!$P$6:$P$37,'TIME REPORT'!$A$6:$A$37,J$4,'TIME REPORT'!$E$6:$E$37,"OFFICE")/60)</f>
        <v>0</v>
      </c>
      <c r="K24" s="85">
        <f>IF("OFFICE"="","",SUMIFS('TIME REPORT'!$N$6:$N$37,'TIME REPORT'!$A$6:$A$37,K$4,'TIME REPORT'!$E$6:$E$37,"OFFICE")+SUMIFS('TIME REPORT'!$P$6:$P$37,'TIME REPORT'!$A$6:$A$37,K$4,'TIME REPORT'!$E$6:$E$37,"OFFICE")/60)</f>
        <v>0</v>
      </c>
      <c r="L24" s="85">
        <f>IF("OFFICE"="","",SUMIFS('TIME REPORT'!$N$6:$N$37,'TIME REPORT'!$A$6:$A$37,L$4,'TIME REPORT'!$E$6:$E$37,"OFFICE")+SUMIFS('TIME REPORT'!$P$6:$P$37,'TIME REPORT'!$A$6:$A$37,L$4,'TIME REPORT'!$E$6:$E$37,"OFFICE")/60)</f>
        <v>0</v>
      </c>
      <c r="M24" s="85">
        <f>IF("OFFICE"="","",SUMIFS('TIME REPORT'!$N$6:$N$37,'TIME REPORT'!$A$6:$A$37,M$4,'TIME REPORT'!$E$6:$E$37,"OFFICE")+SUMIFS('TIME REPORT'!$P$6:$P$37,'TIME REPORT'!$A$6:$A$37,M$4,'TIME REPORT'!$E$6:$E$37,"OFFICE")/60)</f>
        <v>0</v>
      </c>
      <c r="N24" s="85">
        <f>IF("OFFICE"="","",SUMIFS('TIME REPORT'!$N$6:$N$37,'TIME REPORT'!$A$6:$A$37,N$4,'TIME REPORT'!$E$6:$E$37,"OFFICE")+SUMIFS('TIME REPORT'!$P$6:$P$37,'TIME REPORT'!$A$6:$A$37,N$4,'TIME REPORT'!$E$6:$E$37,"OFFICE")/60)</f>
        <v>0</v>
      </c>
      <c r="O24" s="85">
        <f>IF("OFFICE"="","",SUMIFS('TIME REPORT'!$N$6:$N$37,'TIME REPORT'!$A$6:$A$37,O$4,'TIME REPORT'!$E$6:$E$37,"OFFICE")+SUMIFS('TIME REPORT'!$P$6:$P$37,'TIME REPORT'!$A$6:$A$37,O$4,'TIME REPORT'!$E$6:$E$37,"OFFICE")/60)</f>
        <v>0</v>
      </c>
      <c r="P24" s="85">
        <f>IF("OFFICE"="","",SUMIFS('TIME REPORT'!$N$6:$N$37,'TIME REPORT'!$A$6:$A$37,P$4,'TIME REPORT'!$E$6:$E$37,"OFFICE")+SUMIFS('TIME REPORT'!$P$6:$P$37,'TIME REPORT'!$A$6:$A$37,P$4,'TIME REPORT'!$E$6:$E$37,"OFFICE")/60)</f>
        <v>0</v>
      </c>
      <c r="Q24" s="85">
        <f>IF("OFFICE"="","",SUMIFS('TIME REPORT'!$N$6:$N$37,'TIME REPORT'!$A$6:$A$37,Q$4,'TIME REPORT'!$E$6:$E$37,"OFFICE")+SUMIFS('TIME REPORT'!$P$6:$P$37,'TIME REPORT'!$A$6:$A$37,Q$4,'TIME REPORT'!$E$6:$E$37,"OFFICE")/60)</f>
        <v>0</v>
      </c>
      <c r="R24" s="85">
        <f>IF("OFFICE"="","",SUMIFS('TIME REPORT'!$N$6:$N$37,'TIME REPORT'!$A$6:$A$37,R$4,'TIME REPORT'!$E$6:$E$37,"OFFICE")+SUMIFS('TIME REPORT'!$P$6:$P$37,'TIME REPORT'!$A$6:$A$37,R$4,'TIME REPORT'!$E$6:$E$37,"OFFICE")/60)</f>
        <v>0</v>
      </c>
      <c r="S24" s="85">
        <f>IF("OFFICE"="","",SUMIFS('TIME REPORT'!$N$6:$N$37,'TIME REPORT'!$A$6:$A$37,S$4,'TIME REPORT'!$E$6:$E$37,"OFFICE")+SUMIFS('TIME REPORT'!$P$6:$P$37,'TIME REPORT'!$A$6:$A$37,S$4,'TIME REPORT'!$E$6:$E$37,"OFFICE")/60)</f>
        <v>0</v>
      </c>
      <c r="T24" s="85">
        <f>IF("OFFICE"="","",SUMIFS('TIME REPORT'!$N$6:$N$37,'TIME REPORT'!$A$6:$A$37,T$4,'TIME REPORT'!$E$6:$E$37,"OFFICE")+SUMIFS('TIME REPORT'!$P$6:$P$37,'TIME REPORT'!$A$6:$A$37,T$4,'TIME REPORT'!$E$6:$E$37,"OFFICE")/60)</f>
        <v>0</v>
      </c>
      <c r="U24" s="85">
        <f>IF("OFFICE"="","",SUMIFS('TIME REPORT'!$N$6:$N$37,'TIME REPORT'!$A$6:$A$37,U$4,'TIME REPORT'!$E$6:$E$37,"OFFICE")+SUMIFS('TIME REPORT'!$P$6:$P$37,'TIME REPORT'!$A$6:$A$37,U$4,'TIME REPORT'!$E$6:$E$37,"OFFICE")/60)</f>
        <v>0</v>
      </c>
      <c r="V24" s="85">
        <f>IF("OFFICE"="","",SUMIFS('TIME REPORT'!$N$6:$N$37,'TIME REPORT'!$A$6:$A$37,V$4,'TIME REPORT'!$E$6:$E$37,"OFFICE")+SUMIFS('TIME REPORT'!$P$6:$P$37,'TIME REPORT'!$A$6:$A$37,V$4,'TIME REPORT'!$E$6:$E$37,"OFFICE")/60)</f>
        <v>0</v>
      </c>
      <c r="W24" s="85">
        <f>IF("OFFICE"="","",SUMIFS('TIME REPORT'!$N$6:$N$37,'TIME REPORT'!$A$6:$A$37,W$4,'TIME REPORT'!$E$6:$E$37,"OFFICE")+SUMIFS('TIME REPORT'!$P$6:$P$37,'TIME REPORT'!$A$6:$A$37,W$4,'TIME REPORT'!$E$6:$E$37,"OFFICE")/60)</f>
        <v>0</v>
      </c>
      <c r="X24" s="85">
        <f>IF("OFFICE"="","",SUMIFS('TIME REPORT'!$N$6:$N$37,'TIME REPORT'!$A$6:$A$37,X$4,'TIME REPORT'!$E$6:$E$37,"OFFICE")+SUMIFS('TIME REPORT'!$P$6:$P$37,'TIME REPORT'!$A$6:$A$37,X$4,'TIME REPORT'!$E$6:$E$37,"OFFICE")/60)</f>
        <v>0</v>
      </c>
      <c r="Y24" s="85">
        <f>IF("OFFICE"="","",SUMIFS('TIME REPORT'!$N$6:$N$37,'TIME REPORT'!$A$6:$A$37,Y$4,'TIME REPORT'!$E$6:$E$37,"OFFICE")+SUMIFS('TIME REPORT'!$P$6:$P$37,'TIME REPORT'!$A$6:$A$37,Y$4,'TIME REPORT'!$E$6:$E$37,"OFFICE")/60)</f>
        <v>0</v>
      </c>
      <c r="Z24" s="85">
        <f>IF("OFFICE"="","",SUMIFS('TIME REPORT'!$N$6:$N$37,'TIME REPORT'!$A$6:$A$37,Z$4,'TIME REPORT'!$E$6:$E$37,"OFFICE")+SUMIFS('TIME REPORT'!$P$6:$P$37,'TIME REPORT'!$A$6:$A$37,Z$4,'TIME REPORT'!$E$6:$E$37,"OFFICE")/60)</f>
        <v>0</v>
      </c>
      <c r="AA24" s="85">
        <f>IF("OFFICE"="","",SUMIFS('TIME REPORT'!$N$6:$N$37,'TIME REPORT'!$A$6:$A$37,AA$4,'TIME REPORT'!$E$6:$E$37,"OFFICE")+SUMIFS('TIME REPORT'!$P$6:$P$37,'TIME REPORT'!$A$6:$A$37,AA$4,'TIME REPORT'!$E$6:$E$37,"OFFICE")/60)</f>
        <v>0</v>
      </c>
      <c r="AB24" s="85">
        <f>IF("OFFICE"="","",SUMIFS('TIME REPORT'!$N$6:$N$37,'TIME REPORT'!$A$6:$A$37,AB$4,'TIME REPORT'!$E$6:$E$37,"OFFICE")+SUMIFS('TIME REPORT'!$P$6:$P$37,'TIME REPORT'!$A$6:$A$37,AB$4,'TIME REPORT'!$E$6:$E$37,"OFFICE")/60)</f>
        <v>0</v>
      </c>
      <c r="AC24" s="85">
        <f>IF("OFFICE"="","",SUMIFS('TIME REPORT'!$N$6:$N$37,'TIME REPORT'!$A$6:$A$37,AC$4,'TIME REPORT'!$E$6:$E$37,"OFFICE")+SUMIFS('TIME REPORT'!$P$6:$P$37,'TIME REPORT'!$A$6:$A$37,AC$4,'TIME REPORT'!$E$6:$E$37,"OFFICE")/60)</f>
        <v>0</v>
      </c>
      <c r="AD24" s="85">
        <f>IF("OFFICE"="","",SUMIFS('TIME REPORT'!$N$6:$N$37,'TIME REPORT'!$A$6:$A$37,AD$4,'TIME REPORT'!$E$6:$E$37,"OFFICE")+SUMIFS('TIME REPORT'!$P$6:$P$37,'TIME REPORT'!$A$6:$A$37,AD$4,'TIME REPORT'!$E$6:$E$37,"OFFICE")/60)</f>
        <v>0</v>
      </c>
      <c r="AE24" s="85">
        <f>IF("OFFICE"="","",SUMIFS('TIME REPORT'!$N$6:$N$37,'TIME REPORT'!$A$6:$A$37,AE$4,'TIME REPORT'!$E$6:$E$37,"OFFICE")+SUMIFS('TIME REPORT'!$P$6:$P$37,'TIME REPORT'!$A$6:$A$37,AE$4,'TIME REPORT'!$E$6:$E$37,"OFFICE")/60)</f>
        <v>0</v>
      </c>
      <c r="AF24" s="85">
        <f>IF("OFFICE"="","",SUMIFS('TIME REPORT'!$N$6:$N$37,'TIME REPORT'!$A$6:$A$37,AF$4,'TIME REPORT'!$E$6:$E$37,"OFFICE")+SUMIFS('TIME REPORT'!$P$6:$P$37,'TIME REPORT'!$A$6:$A$37,AF$4,'TIME REPORT'!$E$6:$E$37,"OFFICE")/60)</f>
        <v>0</v>
      </c>
      <c r="AG24" s="85">
        <f>IF("OFFICE"="","",SUMIFS('TIME REPORT'!$N$6:$N$37,'TIME REPORT'!$A$6:$A$37,AG$4,'TIME REPORT'!$E$6:$E$37,"OFFICE")+SUMIFS('TIME REPORT'!$P$6:$P$37,'TIME REPORT'!$A$6:$A$37,AG$4,'TIME REPORT'!$E$6:$E$37,"OFFICE")/60)</f>
        <v>0</v>
      </c>
      <c r="AH24" s="85">
        <f>IF("OFFICE"="","",SUMIFS('TIME REPORT'!$N$6:$N$37,'TIME REPORT'!$A$6:$A$37,AH$4,'TIME REPORT'!$E$6:$E$37,"OFFICE")+SUMIFS('TIME REPORT'!$P$6:$P$37,'TIME REPORT'!$A$6:$A$37,AH$4,'TIME REPORT'!$E$6:$E$37,"OFFICE")/60)</f>
        <v>0</v>
      </c>
      <c r="AI24" s="85">
        <f>IF("OFFICE"="","",SUMIFS('TIME REPORT'!$N$6:$N$37,'TIME REPORT'!$A$6:$A$37,AI$4,'TIME REPORT'!$E$6:$E$37,"OFFICE")+SUMIFS('TIME REPORT'!$P$6:$P$37,'TIME REPORT'!$A$6:$A$37,AI$4,'TIME REPORT'!$E$6:$E$37,"OFFICE")/60)</f>
        <v>0</v>
      </c>
      <c r="AJ24" s="85">
        <f>IF("OFFICE"="","",SUMIFS('TIME REPORT'!$N$6:$N$37,'TIME REPORT'!$A$6:$A$37,AJ$4,'TIME REPORT'!$E$6:$E$37,"OFFICE")+SUMIFS('TIME REPORT'!$P$6:$P$37,'TIME REPORT'!$A$6:$A$37,AJ$4,'TIME REPORT'!$E$6:$E$37,"OFFICE")/60)</f>
        <v>0</v>
      </c>
      <c r="AK24" s="85">
        <f>IF("OFFICE"="","",SUMIFS('TIME REPORT'!$N$6:$N$37,'TIME REPORT'!$A$6:$A$37,AK$4,'TIME REPORT'!$E$6:$E$37,"OFFICE")+SUMIFS('TIME REPORT'!$P$6:$P$37,'TIME REPORT'!$A$6:$A$37,AK$4,'TIME REPORT'!$E$6:$E$37,"OFFICE")/60)</f>
        <v>0</v>
      </c>
      <c r="AL24" s="86">
        <f t="shared" ref="AL24:AL29" si="2">SUM(G24:AK24)</f>
        <v>0</v>
      </c>
      <c r="AM24" s="48"/>
      <c r="AN24" s="48"/>
      <c r="AO24" s="48"/>
      <c r="AP24" s="23"/>
      <c r="AQ24" s="23"/>
      <c r="AR24" s="23"/>
      <c r="AS24"/>
      <c r="AT24"/>
      <c r="AU24"/>
      <c r="AV24"/>
      <c r="AW24"/>
      <c r="AX24"/>
      <c r="AY24"/>
      <c r="AZ24"/>
      <c r="BA24"/>
    </row>
    <row r="25" spans="1:53">
      <c r="A25" s="49" t="s">
        <v>299</v>
      </c>
      <c r="B25" s="50"/>
      <c r="C25" s="50"/>
      <c r="D25" s="50"/>
      <c r="E25" s="50"/>
      <c r="F25" s="51"/>
      <c r="G25" s="85">
        <f>IF("ลาป่วย"="","",SUMIFS('TIME REPORT'!$N$6:$N$37,'TIME REPORT'!$A$6:$A$37,G$4,'TIME REPORT'!$E$6:$E$37,"ลาป่วย")+SUMIFS('TIME REPORT'!$P$6:$P$37,'TIME REPORT'!$A$6:$A$37,G$4,'TIME REPORT'!$E$6:$E$37,"ลาป่วย")/60)</f>
        <v>0</v>
      </c>
      <c r="H25" s="85">
        <f>IF("ลาป่วย"="","",SUMIFS('TIME REPORT'!$N$6:$N$37,'TIME REPORT'!$A$6:$A$37,H$4,'TIME REPORT'!$E$6:$E$37,"ลาป่วย")+SUMIFS('TIME REPORT'!$P$6:$P$37,'TIME REPORT'!$A$6:$A$37,H$4,'TIME REPORT'!$E$6:$E$37,"ลาป่วย")/60)</f>
        <v>0</v>
      </c>
      <c r="I25" s="85">
        <f>IF("ลาป่วย"="","",SUMIFS('TIME REPORT'!$N$6:$N$37,'TIME REPORT'!$A$6:$A$37,I$4,'TIME REPORT'!$E$6:$E$37,"ลาป่วย")+SUMIFS('TIME REPORT'!$P$6:$P$37,'TIME REPORT'!$A$6:$A$37,I$4,'TIME REPORT'!$E$6:$E$37,"ลาป่วย")/60)</f>
        <v>0</v>
      </c>
      <c r="J25" s="85">
        <f>IF("ลาป่วย"="","",SUMIFS('TIME REPORT'!$N$6:$N$37,'TIME REPORT'!$A$6:$A$37,J$4,'TIME REPORT'!$E$6:$E$37,"ลาป่วย")+SUMIFS('TIME REPORT'!$P$6:$P$37,'TIME REPORT'!$A$6:$A$37,J$4,'TIME REPORT'!$E$6:$E$37,"ลาป่วย")/60)</f>
        <v>0</v>
      </c>
      <c r="K25" s="85">
        <f>IF("ลาป่วย"="","",SUMIFS('TIME REPORT'!$N$6:$N$37,'TIME REPORT'!$A$6:$A$37,K$4,'TIME REPORT'!$E$6:$E$37,"ลาป่วย")+SUMIFS('TIME REPORT'!$P$6:$P$37,'TIME REPORT'!$A$6:$A$37,K$4,'TIME REPORT'!$E$6:$E$37,"ลาป่วย")/60)</f>
        <v>0</v>
      </c>
      <c r="L25" s="85">
        <f>IF("ลาป่วย"="","",SUMIFS('TIME REPORT'!$N$6:$N$37,'TIME REPORT'!$A$6:$A$37,L$4,'TIME REPORT'!$E$6:$E$37,"ลาป่วย")+SUMIFS('TIME REPORT'!$P$6:$P$37,'TIME REPORT'!$A$6:$A$37,L$4,'TIME REPORT'!$E$6:$E$37,"ลาป่วย")/60)</f>
        <v>0</v>
      </c>
      <c r="M25" s="85">
        <f>IF("ลาป่วย"="","",SUMIFS('TIME REPORT'!$N$6:$N$37,'TIME REPORT'!$A$6:$A$37,M$4,'TIME REPORT'!$E$6:$E$37,"ลาป่วย")+SUMIFS('TIME REPORT'!$P$6:$P$37,'TIME REPORT'!$A$6:$A$37,M$4,'TIME REPORT'!$E$6:$E$37,"ลาป่วย")/60)</f>
        <v>0</v>
      </c>
      <c r="N25" s="85">
        <f>IF("ลาป่วย"="","",SUMIFS('TIME REPORT'!$N$6:$N$37,'TIME REPORT'!$A$6:$A$37,N$4,'TIME REPORT'!$E$6:$E$37,"ลาป่วย")+SUMIFS('TIME REPORT'!$P$6:$P$37,'TIME REPORT'!$A$6:$A$37,N$4,'TIME REPORT'!$E$6:$E$37,"ลาป่วย")/60)</f>
        <v>0</v>
      </c>
      <c r="O25" s="85">
        <f>IF("ลาป่วย"="","",SUMIFS('TIME REPORT'!$N$6:$N$37,'TIME REPORT'!$A$6:$A$37,O$4,'TIME REPORT'!$E$6:$E$37,"ลาป่วย")+SUMIFS('TIME REPORT'!$P$6:$P$37,'TIME REPORT'!$A$6:$A$37,O$4,'TIME REPORT'!$E$6:$E$37,"ลาป่วย")/60)</f>
        <v>0</v>
      </c>
      <c r="P25" s="85">
        <f>IF("ลาป่วย"="","",SUMIFS('TIME REPORT'!$N$6:$N$37,'TIME REPORT'!$A$6:$A$37,P$4,'TIME REPORT'!$E$6:$E$37,"ลาป่วย")+SUMIFS('TIME REPORT'!$P$6:$P$37,'TIME REPORT'!$A$6:$A$37,P$4,'TIME REPORT'!$E$6:$E$37,"ลาป่วย")/60)</f>
        <v>0</v>
      </c>
      <c r="Q25" s="85">
        <f>IF("ลาป่วย"="","",SUMIFS('TIME REPORT'!$N$6:$N$37,'TIME REPORT'!$A$6:$A$37,Q$4,'TIME REPORT'!$E$6:$E$37,"ลาป่วย")+SUMIFS('TIME REPORT'!$P$6:$P$37,'TIME REPORT'!$A$6:$A$37,Q$4,'TIME REPORT'!$E$6:$E$37,"ลาป่วย")/60)</f>
        <v>0</v>
      </c>
      <c r="R25" s="85">
        <f>IF("ลาป่วย"="","",SUMIFS('TIME REPORT'!$N$6:$N$37,'TIME REPORT'!$A$6:$A$37,R$4,'TIME REPORT'!$E$6:$E$37,"ลาป่วย")+SUMIFS('TIME REPORT'!$P$6:$P$37,'TIME REPORT'!$A$6:$A$37,R$4,'TIME REPORT'!$E$6:$E$37,"ลาป่วย")/60)</f>
        <v>0</v>
      </c>
      <c r="S25" s="85">
        <f>IF("ลาป่วย"="","",SUMIFS('TIME REPORT'!$N$6:$N$37,'TIME REPORT'!$A$6:$A$37,S$4,'TIME REPORT'!$E$6:$E$37,"ลาป่วย")+SUMIFS('TIME REPORT'!$P$6:$P$37,'TIME REPORT'!$A$6:$A$37,S$4,'TIME REPORT'!$E$6:$E$37,"ลาป่วย")/60)</f>
        <v>0</v>
      </c>
      <c r="T25" s="85">
        <f>IF("ลาป่วย"="","",SUMIFS('TIME REPORT'!$N$6:$N$37,'TIME REPORT'!$A$6:$A$37,T$4,'TIME REPORT'!$E$6:$E$37,"ลาป่วย")+SUMIFS('TIME REPORT'!$P$6:$P$37,'TIME REPORT'!$A$6:$A$37,T$4,'TIME REPORT'!$E$6:$E$37,"ลาป่วย")/60)</f>
        <v>0</v>
      </c>
      <c r="U25" s="85">
        <f>IF("ลาป่วย"="","",SUMIFS('TIME REPORT'!$N$6:$N$37,'TIME REPORT'!$A$6:$A$37,U$4,'TIME REPORT'!$E$6:$E$37,"ลาป่วย")+SUMIFS('TIME REPORT'!$P$6:$P$37,'TIME REPORT'!$A$6:$A$37,U$4,'TIME REPORT'!$E$6:$E$37,"ลาป่วย")/60)</f>
        <v>0</v>
      </c>
      <c r="V25" s="85">
        <f>IF("ลาป่วย"="","",SUMIFS('TIME REPORT'!$N$6:$N$37,'TIME REPORT'!$A$6:$A$37,V$4,'TIME REPORT'!$E$6:$E$37,"ลาป่วย")+SUMIFS('TIME REPORT'!$P$6:$P$37,'TIME REPORT'!$A$6:$A$37,V$4,'TIME REPORT'!$E$6:$E$37,"ลาป่วย")/60)</f>
        <v>0</v>
      </c>
      <c r="W25" s="85">
        <f>IF("ลาป่วย"="","",SUMIFS('TIME REPORT'!$N$6:$N$37,'TIME REPORT'!$A$6:$A$37,W$4,'TIME REPORT'!$E$6:$E$37,"ลาป่วย")+SUMIFS('TIME REPORT'!$P$6:$P$37,'TIME REPORT'!$A$6:$A$37,W$4,'TIME REPORT'!$E$6:$E$37,"ลาป่วย")/60)</f>
        <v>0</v>
      </c>
      <c r="X25" s="85">
        <f>IF("ลาป่วย"="","",SUMIFS('TIME REPORT'!$N$6:$N$37,'TIME REPORT'!$A$6:$A$37,X$4,'TIME REPORT'!$E$6:$E$37,"ลาป่วย")+SUMIFS('TIME REPORT'!$P$6:$P$37,'TIME REPORT'!$A$6:$A$37,X$4,'TIME REPORT'!$E$6:$E$37,"ลาป่วย")/60)</f>
        <v>0</v>
      </c>
      <c r="Y25" s="85">
        <f>IF("ลาป่วย"="","",SUMIFS('TIME REPORT'!$N$6:$N$37,'TIME REPORT'!$A$6:$A$37,Y$4,'TIME REPORT'!$E$6:$E$37,"ลาป่วย")+SUMIFS('TIME REPORT'!$P$6:$P$37,'TIME REPORT'!$A$6:$A$37,Y$4,'TIME REPORT'!$E$6:$E$37,"ลาป่วย")/60)</f>
        <v>0</v>
      </c>
      <c r="Z25" s="85">
        <f>IF("ลาป่วย"="","",SUMIFS('TIME REPORT'!$N$6:$N$37,'TIME REPORT'!$A$6:$A$37,Z$4,'TIME REPORT'!$E$6:$E$37,"ลาป่วย")+SUMIFS('TIME REPORT'!$P$6:$P$37,'TIME REPORT'!$A$6:$A$37,Z$4,'TIME REPORT'!$E$6:$E$37,"ลาป่วย")/60)</f>
        <v>0</v>
      </c>
      <c r="AA25" s="85">
        <f>IF("ลาป่วย"="","",SUMIFS('TIME REPORT'!$N$6:$N$37,'TIME REPORT'!$A$6:$A$37,AA$4,'TIME REPORT'!$E$6:$E$37,"ลาป่วย")+SUMIFS('TIME REPORT'!$P$6:$P$37,'TIME REPORT'!$A$6:$A$37,AA$4,'TIME REPORT'!$E$6:$E$37,"ลาป่วย")/60)</f>
        <v>0</v>
      </c>
      <c r="AB25" s="85">
        <f>IF("ลาป่วย"="","",SUMIFS('TIME REPORT'!$N$6:$N$37,'TIME REPORT'!$A$6:$A$37,AB$4,'TIME REPORT'!$E$6:$E$37,"ลาป่วย")+SUMIFS('TIME REPORT'!$P$6:$P$37,'TIME REPORT'!$A$6:$A$37,AB$4,'TIME REPORT'!$E$6:$E$37,"ลาป่วย")/60)</f>
        <v>0</v>
      </c>
      <c r="AC25" s="85">
        <f>IF("ลาป่วย"="","",SUMIFS('TIME REPORT'!$N$6:$N$37,'TIME REPORT'!$A$6:$A$37,AC$4,'TIME REPORT'!$E$6:$E$37,"ลาป่วย")+SUMIFS('TIME REPORT'!$P$6:$P$37,'TIME REPORT'!$A$6:$A$37,AC$4,'TIME REPORT'!$E$6:$E$37,"ลาป่วย")/60)</f>
        <v>0</v>
      </c>
      <c r="AD25" s="85">
        <f>IF("ลาป่วย"="","",SUMIFS('TIME REPORT'!$N$6:$N$37,'TIME REPORT'!$A$6:$A$37,AD$4,'TIME REPORT'!$E$6:$E$37,"ลาป่วย")+SUMIFS('TIME REPORT'!$P$6:$P$37,'TIME REPORT'!$A$6:$A$37,AD$4,'TIME REPORT'!$E$6:$E$37,"ลาป่วย")/60)</f>
        <v>0</v>
      </c>
      <c r="AE25" s="85">
        <f>IF("ลาป่วย"="","",SUMIFS('TIME REPORT'!$N$6:$N$37,'TIME REPORT'!$A$6:$A$37,AE$4,'TIME REPORT'!$E$6:$E$37,"ลาป่วย")+SUMIFS('TIME REPORT'!$P$6:$P$37,'TIME REPORT'!$A$6:$A$37,AE$4,'TIME REPORT'!$E$6:$E$37,"ลาป่วย")/60)</f>
        <v>0</v>
      </c>
      <c r="AF25" s="85">
        <f>IF("ลาป่วย"="","",SUMIFS('TIME REPORT'!$N$6:$N$37,'TIME REPORT'!$A$6:$A$37,AF$4,'TIME REPORT'!$E$6:$E$37,"ลาป่วย")+SUMIFS('TIME REPORT'!$P$6:$P$37,'TIME REPORT'!$A$6:$A$37,AF$4,'TIME REPORT'!$E$6:$E$37,"ลาป่วย")/60)</f>
        <v>0</v>
      </c>
      <c r="AG25" s="85">
        <f>IF("ลาป่วย"="","",SUMIFS('TIME REPORT'!$N$6:$N$37,'TIME REPORT'!$A$6:$A$37,AG$4,'TIME REPORT'!$E$6:$E$37,"ลาป่วย")+SUMIFS('TIME REPORT'!$P$6:$P$37,'TIME REPORT'!$A$6:$A$37,AG$4,'TIME REPORT'!$E$6:$E$37,"ลาป่วย")/60)</f>
        <v>0</v>
      </c>
      <c r="AH25" s="85">
        <f>IF("ลาป่วย"="","",SUMIFS('TIME REPORT'!$N$6:$N$37,'TIME REPORT'!$A$6:$A$37,AH$4,'TIME REPORT'!$E$6:$E$37,"ลาป่วย")+SUMIFS('TIME REPORT'!$P$6:$P$37,'TIME REPORT'!$A$6:$A$37,AH$4,'TIME REPORT'!$E$6:$E$37,"ลาป่วย")/60)</f>
        <v>0</v>
      </c>
      <c r="AI25" s="85">
        <f>IF("ลาป่วย"="","",SUMIFS('TIME REPORT'!$N$6:$N$37,'TIME REPORT'!$A$6:$A$37,AI$4,'TIME REPORT'!$E$6:$E$37,"ลาป่วย")+SUMIFS('TIME REPORT'!$P$6:$P$37,'TIME REPORT'!$A$6:$A$37,AI$4,'TIME REPORT'!$E$6:$E$37,"ลาป่วย")/60)</f>
        <v>0</v>
      </c>
      <c r="AJ25" s="85">
        <f>IF("ลาป่วย"="","",SUMIFS('TIME REPORT'!$N$6:$N$37,'TIME REPORT'!$A$6:$A$37,AJ$4,'TIME REPORT'!$E$6:$E$37,"ลาป่วย")+SUMIFS('TIME REPORT'!$P$6:$P$37,'TIME REPORT'!$A$6:$A$37,AJ$4,'TIME REPORT'!$E$6:$E$37,"ลาป่วย")/60)</f>
        <v>0</v>
      </c>
      <c r="AK25" s="85">
        <f>IF("ลาป่วย"="","",SUMIFS('TIME REPORT'!$N$6:$N$37,'TIME REPORT'!$A$6:$A$37,AK$4,'TIME REPORT'!$E$6:$E$37,"ลาป่วย")+SUMIFS('TIME REPORT'!$P$6:$P$37,'TIME REPORT'!$A$6:$A$37,AK$4,'TIME REPORT'!$E$6:$E$37,"ลาป่วย")/60)</f>
        <v>0</v>
      </c>
      <c r="AL25" s="86">
        <f t="shared" si="2"/>
        <v>0</v>
      </c>
      <c r="AM25" s="48"/>
      <c r="AN25" s="48"/>
      <c r="AO25" s="48"/>
      <c r="AP25" s="23"/>
      <c r="AQ25" s="23"/>
      <c r="AR25" s="23"/>
      <c r="AS25"/>
      <c r="AT25"/>
      <c r="AU25"/>
      <c r="AV25"/>
      <c r="AW25"/>
      <c r="AX25"/>
      <c r="AY25"/>
      <c r="AZ25"/>
      <c r="BA25"/>
    </row>
    <row r="26" spans="1:53">
      <c r="A26" s="49" t="s">
        <v>300</v>
      </c>
      <c r="B26" s="50"/>
      <c r="C26" s="50"/>
      <c r="D26" s="50"/>
      <c r="E26" s="50"/>
      <c r="F26" s="51"/>
      <c r="G26" s="85">
        <f>IF("ลาพักร้อน"="","",SUMIFS('TIME REPORT'!$N$6:$N$37,'TIME REPORT'!$A$6:$A$37,G$4,'TIME REPORT'!$E$6:$E$37,"ลาพักร้อน")+SUMIFS('TIME REPORT'!$P$6:$P$37,'TIME REPORT'!$A$6:$A$37,G$4,'TIME REPORT'!$E$6:$E$37,"ลาพักร้อน")/60)</f>
        <v>0</v>
      </c>
      <c r="H26" s="85">
        <f>IF("ลาพักร้อน"="","",SUMIFS('TIME REPORT'!$N$6:$N$37,'TIME REPORT'!$A$6:$A$37,H$4,'TIME REPORT'!$E$6:$E$37,"ลาพักร้อน")+SUMIFS('TIME REPORT'!$P$6:$P$37,'TIME REPORT'!$A$6:$A$37,H$4,'TIME REPORT'!$E$6:$E$37,"ลาพักร้อน")/60)</f>
        <v>0</v>
      </c>
      <c r="I26" s="85">
        <f>IF("ลาพักร้อน"="","",SUMIFS('TIME REPORT'!$N$6:$N$37,'TIME REPORT'!$A$6:$A$37,I$4,'TIME REPORT'!$E$6:$E$37,"ลาพักร้อน")+SUMIFS('TIME REPORT'!$P$6:$P$37,'TIME REPORT'!$A$6:$A$37,I$4,'TIME REPORT'!$E$6:$E$37,"ลาพักร้อน")/60)</f>
        <v>0</v>
      </c>
      <c r="J26" s="85">
        <f>IF("ลาพักร้อน"="","",SUMIFS('TIME REPORT'!$N$6:$N$37,'TIME REPORT'!$A$6:$A$37,J$4,'TIME REPORT'!$E$6:$E$37,"ลาพักร้อน")+SUMIFS('TIME REPORT'!$P$6:$P$37,'TIME REPORT'!$A$6:$A$37,J$4,'TIME REPORT'!$E$6:$E$37,"ลาพักร้อน")/60)</f>
        <v>0</v>
      </c>
      <c r="K26" s="85">
        <f>IF("ลาพักร้อน"="","",SUMIFS('TIME REPORT'!$N$6:$N$37,'TIME REPORT'!$A$6:$A$37,K$4,'TIME REPORT'!$E$6:$E$37,"ลาพักร้อน")+SUMIFS('TIME REPORT'!$P$6:$P$37,'TIME REPORT'!$A$6:$A$37,K$4,'TIME REPORT'!$E$6:$E$37,"ลาพักร้อน")/60)</f>
        <v>0</v>
      </c>
      <c r="L26" s="85">
        <f>IF("ลาพักร้อน"="","",SUMIFS('TIME REPORT'!$N$6:$N$37,'TIME REPORT'!$A$6:$A$37,L$4,'TIME REPORT'!$E$6:$E$37,"ลาพักร้อน")+SUMIFS('TIME REPORT'!$P$6:$P$37,'TIME REPORT'!$A$6:$A$37,L$4,'TIME REPORT'!$E$6:$E$37,"ลาพักร้อน")/60)</f>
        <v>0</v>
      </c>
      <c r="M26" s="85">
        <f>IF("ลาพักร้อน"="","",SUMIFS('TIME REPORT'!$N$6:$N$37,'TIME REPORT'!$A$6:$A$37,M$4,'TIME REPORT'!$E$6:$E$37,"ลาพักร้อน")+SUMIFS('TIME REPORT'!$P$6:$P$37,'TIME REPORT'!$A$6:$A$37,M$4,'TIME REPORT'!$E$6:$E$37,"ลาพักร้อน")/60)</f>
        <v>0</v>
      </c>
      <c r="N26" s="85">
        <f>IF("ลาพักร้อน"="","",SUMIFS('TIME REPORT'!$N$6:$N$37,'TIME REPORT'!$A$6:$A$37,N$4,'TIME REPORT'!$E$6:$E$37,"ลาพักร้อน")+SUMIFS('TIME REPORT'!$P$6:$P$37,'TIME REPORT'!$A$6:$A$37,N$4,'TIME REPORT'!$E$6:$E$37,"ลาพักร้อน")/60)</f>
        <v>0</v>
      </c>
      <c r="O26" s="85">
        <f>IF("ลาพักร้อน"="","",SUMIFS('TIME REPORT'!$N$6:$N$37,'TIME REPORT'!$A$6:$A$37,O$4,'TIME REPORT'!$E$6:$E$37,"ลาพักร้อน")+SUMIFS('TIME REPORT'!$P$6:$P$37,'TIME REPORT'!$A$6:$A$37,O$4,'TIME REPORT'!$E$6:$E$37,"ลาพักร้อน")/60)</f>
        <v>0</v>
      </c>
      <c r="P26" s="85">
        <f>IF("ลาพักร้อน"="","",SUMIFS('TIME REPORT'!$N$6:$N$37,'TIME REPORT'!$A$6:$A$37,P$4,'TIME REPORT'!$E$6:$E$37,"ลาพักร้อน")+SUMIFS('TIME REPORT'!$P$6:$P$37,'TIME REPORT'!$A$6:$A$37,P$4,'TIME REPORT'!$E$6:$E$37,"ลาพักร้อน")/60)</f>
        <v>0</v>
      </c>
      <c r="Q26" s="85">
        <f>IF("ลาพักร้อน"="","",SUMIFS('TIME REPORT'!$N$6:$N$37,'TIME REPORT'!$A$6:$A$37,Q$4,'TIME REPORT'!$E$6:$E$37,"ลาพักร้อน")+SUMIFS('TIME REPORT'!$P$6:$P$37,'TIME REPORT'!$A$6:$A$37,Q$4,'TIME REPORT'!$E$6:$E$37,"ลาพักร้อน")/60)</f>
        <v>0</v>
      </c>
      <c r="R26" s="85">
        <f>IF("ลาพักร้อน"="","",SUMIFS('TIME REPORT'!$N$6:$N$37,'TIME REPORT'!$A$6:$A$37,R$4,'TIME REPORT'!$E$6:$E$37,"ลาพักร้อน")+SUMIFS('TIME REPORT'!$P$6:$P$37,'TIME REPORT'!$A$6:$A$37,R$4,'TIME REPORT'!$E$6:$E$37,"ลาพักร้อน")/60)</f>
        <v>0</v>
      </c>
      <c r="S26" s="85">
        <f>IF("ลาพักร้อน"="","",SUMIFS('TIME REPORT'!$N$6:$N$37,'TIME REPORT'!$A$6:$A$37,S$4,'TIME REPORT'!$E$6:$E$37,"ลาพักร้อน")+SUMIFS('TIME REPORT'!$P$6:$P$37,'TIME REPORT'!$A$6:$A$37,S$4,'TIME REPORT'!$E$6:$E$37,"ลาพักร้อน")/60)</f>
        <v>0</v>
      </c>
      <c r="T26" s="85">
        <f>IF("ลาพักร้อน"="","",SUMIFS('TIME REPORT'!$N$6:$N$37,'TIME REPORT'!$A$6:$A$37,T$4,'TIME REPORT'!$E$6:$E$37,"ลาพักร้อน")+SUMIFS('TIME REPORT'!$P$6:$P$37,'TIME REPORT'!$A$6:$A$37,T$4,'TIME REPORT'!$E$6:$E$37,"ลาพักร้อน")/60)</f>
        <v>0</v>
      </c>
      <c r="U26" s="85">
        <f>IF("ลาพักร้อน"="","",SUMIFS('TIME REPORT'!$N$6:$N$37,'TIME REPORT'!$A$6:$A$37,U$4,'TIME REPORT'!$E$6:$E$37,"ลาพักร้อน")+SUMIFS('TIME REPORT'!$P$6:$P$37,'TIME REPORT'!$A$6:$A$37,U$4,'TIME REPORT'!$E$6:$E$37,"ลาพักร้อน")/60)</f>
        <v>0</v>
      </c>
      <c r="V26" s="85">
        <f>IF("ลาพักร้อน"="","",SUMIFS('TIME REPORT'!$N$6:$N$37,'TIME REPORT'!$A$6:$A$37,V$4,'TIME REPORT'!$E$6:$E$37,"ลาพักร้อน")+SUMIFS('TIME REPORT'!$P$6:$P$37,'TIME REPORT'!$A$6:$A$37,V$4,'TIME REPORT'!$E$6:$E$37,"ลาพักร้อน")/60)</f>
        <v>0</v>
      </c>
      <c r="W26" s="85">
        <f>IF("ลาพักร้อน"="","",SUMIFS('TIME REPORT'!$N$6:$N$37,'TIME REPORT'!$A$6:$A$37,W$4,'TIME REPORT'!$E$6:$E$37,"ลาพักร้อน")+SUMIFS('TIME REPORT'!$P$6:$P$37,'TIME REPORT'!$A$6:$A$37,W$4,'TIME REPORT'!$E$6:$E$37,"ลาพักร้อน")/60)</f>
        <v>0</v>
      </c>
      <c r="X26" s="85">
        <f>IF("ลาพักร้อน"="","",SUMIFS('TIME REPORT'!$N$6:$N$37,'TIME REPORT'!$A$6:$A$37,X$4,'TIME REPORT'!$E$6:$E$37,"ลาพักร้อน")+SUMIFS('TIME REPORT'!$P$6:$P$37,'TIME REPORT'!$A$6:$A$37,X$4,'TIME REPORT'!$E$6:$E$37,"ลาพักร้อน")/60)</f>
        <v>0</v>
      </c>
      <c r="Y26" s="85">
        <f>IF("ลาพักร้อน"="","",SUMIFS('TIME REPORT'!$N$6:$N$37,'TIME REPORT'!$A$6:$A$37,Y$4,'TIME REPORT'!$E$6:$E$37,"ลาพักร้อน")+SUMIFS('TIME REPORT'!$P$6:$P$37,'TIME REPORT'!$A$6:$A$37,Y$4,'TIME REPORT'!$E$6:$E$37,"ลาพักร้อน")/60)</f>
        <v>0</v>
      </c>
      <c r="Z26" s="85">
        <f>IF("ลาพักร้อน"="","",SUMIFS('TIME REPORT'!$N$6:$N$37,'TIME REPORT'!$A$6:$A$37,Z$4,'TIME REPORT'!$E$6:$E$37,"ลาพักร้อน")+SUMIFS('TIME REPORT'!$P$6:$P$37,'TIME REPORT'!$A$6:$A$37,Z$4,'TIME REPORT'!$E$6:$E$37,"ลาพักร้อน")/60)</f>
        <v>0</v>
      </c>
      <c r="AA26" s="85">
        <f>IF("ลาพักร้อน"="","",SUMIFS('TIME REPORT'!$N$6:$N$37,'TIME REPORT'!$A$6:$A$37,AA$4,'TIME REPORT'!$E$6:$E$37,"ลาพักร้อน")+SUMIFS('TIME REPORT'!$P$6:$P$37,'TIME REPORT'!$A$6:$A$37,AA$4,'TIME REPORT'!$E$6:$E$37,"ลาพักร้อน")/60)</f>
        <v>0</v>
      </c>
      <c r="AB26" s="85">
        <f>IF("ลาพักร้อน"="","",SUMIFS('TIME REPORT'!$N$6:$N$37,'TIME REPORT'!$A$6:$A$37,AB$4,'TIME REPORT'!$E$6:$E$37,"ลาพักร้อน")+SUMIFS('TIME REPORT'!$P$6:$P$37,'TIME REPORT'!$A$6:$A$37,AB$4,'TIME REPORT'!$E$6:$E$37,"ลาพักร้อน")/60)</f>
        <v>0</v>
      </c>
      <c r="AC26" s="85">
        <f>IF("ลาพักร้อน"="","",SUMIFS('TIME REPORT'!$N$6:$N$37,'TIME REPORT'!$A$6:$A$37,AC$4,'TIME REPORT'!$E$6:$E$37,"ลาพักร้อน")+SUMIFS('TIME REPORT'!$P$6:$P$37,'TIME REPORT'!$A$6:$A$37,AC$4,'TIME REPORT'!$E$6:$E$37,"ลาพักร้อน")/60)</f>
        <v>0</v>
      </c>
      <c r="AD26" s="85">
        <f>IF("ลาพักร้อน"="","",SUMIFS('TIME REPORT'!$N$6:$N$37,'TIME REPORT'!$A$6:$A$37,AD$4,'TIME REPORT'!$E$6:$E$37,"ลาพักร้อน")+SUMIFS('TIME REPORT'!$P$6:$P$37,'TIME REPORT'!$A$6:$A$37,AD$4,'TIME REPORT'!$E$6:$E$37,"ลาพักร้อน")/60)</f>
        <v>0</v>
      </c>
      <c r="AE26" s="85">
        <f>IF("ลาพักร้อน"="","",SUMIFS('TIME REPORT'!$N$6:$N$37,'TIME REPORT'!$A$6:$A$37,AE$4,'TIME REPORT'!$E$6:$E$37,"ลาพักร้อน")+SUMIFS('TIME REPORT'!$P$6:$P$37,'TIME REPORT'!$A$6:$A$37,AE$4,'TIME REPORT'!$E$6:$E$37,"ลาพักร้อน")/60)</f>
        <v>0</v>
      </c>
      <c r="AF26" s="85">
        <f>IF("ลาพักร้อน"="","",SUMIFS('TIME REPORT'!$N$6:$N$37,'TIME REPORT'!$A$6:$A$37,AF$4,'TIME REPORT'!$E$6:$E$37,"ลาพักร้อน")+SUMIFS('TIME REPORT'!$P$6:$P$37,'TIME REPORT'!$A$6:$A$37,AF$4,'TIME REPORT'!$E$6:$E$37,"ลาพักร้อน")/60)</f>
        <v>0</v>
      </c>
      <c r="AG26" s="85">
        <f>IF("ลาพักร้อน"="","",SUMIFS('TIME REPORT'!$N$6:$N$37,'TIME REPORT'!$A$6:$A$37,AG$4,'TIME REPORT'!$E$6:$E$37,"ลาพักร้อน")+SUMIFS('TIME REPORT'!$P$6:$P$37,'TIME REPORT'!$A$6:$A$37,AG$4,'TIME REPORT'!$E$6:$E$37,"ลาพักร้อน")/60)</f>
        <v>0</v>
      </c>
      <c r="AH26" s="85">
        <f>IF("ลาพักร้อน"="","",SUMIFS('TIME REPORT'!$N$6:$N$37,'TIME REPORT'!$A$6:$A$37,AH$4,'TIME REPORT'!$E$6:$E$37,"ลาพักร้อน")+SUMIFS('TIME REPORT'!$P$6:$P$37,'TIME REPORT'!$A$6:$A$37,AH$4,'TIME REPORT'!$E$6:$E$37,"ลาพักร้อน")/60)</f>
        <v>0</v>
      </c>
      <c r="AI26" s="85">
        <f>IF("ลาพักร้อน"="","",SUMIFS('TIME REPORT'!$N$6:$N$37,'TIME REPORT'!$A$6:$A$37,AI$4,'TIME REPORT'!$E$6:$E$37,"ลาพักร้อน")+SUMIFS('TIME REPORT'!$P$6:$P$37,'TIME REPORT'!$A$6:$A$37,AI$4,'TIME REPORT'!$E$6:$E$37,"ลาพักร้อน")/60)</f>
        <v>0</v>
      </c>
      <c r="AJ26" s="85">
        <f>IF("ลาพักร้อน"="","",SUMIFS('TIME REPORT'!$N$6:$N$37,'TIME REPORT'!$A$6:$A$37,AJ$4,'TIME REPORT'!$E$6:$E$37,"ลาพักร้อน")+SUMIFS('TIME REPORT'!$P$6:$P$37,'TIME REPORT'!$A$6:$A$37,AJ$4,'TIME REPORT'!$E$6:$E$37,"ลาพักร้อน")/60)</f>
        <v>0</v>
      </c>
      <c r="AK26" s="85">
        <f>IF("ลาพักร้อน"="","",SUMIFS('TIME REPORT'!$N$6:$N$37,'TIME REPORT'!$A$6:$A$37,AK$4,'TIME REPORT'!$E$6:$E$37,"ลาพักร้อน")+SUMIFS('TIME REPORT'!$P$6:$P$37,'TIME REPORT'!$A$6:$A$37,AK$4,'TIME REPORT'!$E$6:$E$37,"ลาพักร้อน")/60)</f>
        <v>0</v>
      </c>
      <c r="AL26" s="86">
        <f t="shared" si="2"/>
        <v>0</v>
      </c>
      <c r="AM26" s="48" t="s">
        <v>48</v>
      </c>
      <c r="AN26" s="48"/>
      <c r="AO26" s="48"/>
      <c r="AP26" s="23"/>
      <c r="AQ26" s="23"/>
      <c r="AR26" s="23"/>
      <c r="AS26"/>
      <c r="AT26"/>
      <c r="AU26"/>
      <c r="AV26"/>
      <c r="AW26"/>
      <c r="AX26"/>
      <c r="AY26"/>
      <c r="AZ26"/>
      <c r="BA26"/>
    </row>
    <row r="27" spans="1:53">
      <c r="A27" s="49" t="s">
        <v>301</v>
      </c>
      <c r="B27" s="50"/>
      <c r="C27" s="50"/>
      <c r="D27" s="50"/>
      <c r="E27" s="50"/>
      <c r="F27" s="51"/>
      <c r="G27" s="85">
        <f>IF("อบรม"="","",SUMIFS('TIME REPORT'!$N$6:$N$37,'TIME REPORT'!$A$6:$A$37,G$4,'TIME REPORT'!$E$6:$E$37,"อบรม")+SUMIFS('TIME REPORT'!$P$6:$P$37,'TIME REPORT'!$A$6:$A$37,G$4,'TIME REPORT'!$E$6:$E$37,"อบรม")/60)</f>
        <v>0</v>
      </c>
      <c r="H27" s="85">
        <f>IF("อบรม"="","",SUMIFS('TIME REPORT'!$N$6:$N$37,'TIME REPORT'!$A$6:$A$37,H$4,'TIME REPORT'!$E$6:$E$37,"อบรม")+SUMIFS('TIME REPORT'!$P$6:$P$37,'TIME REPORT'!$A$6:$A$37,H$4,'TIME REPORT'!$E$6:$E$37,"อบรม")/60)</f>
        <v>0</v>
      </c>
      <c r="I27" s="85">
        <f>IF("อบรม"="","",SUMIFS('TIME REPORT'!$N$6:$N$37,'TIME REPORT'!$A$6:$A$37,I$4,'TIME REPORT'!$E$6:$E$37,"อบรม")+SUMIFS('TIME REPORT'!$P$6:$P$37,'TIME REPORT'!$A$6:$A$37,I$4,'TIME REPORT'!$E$6:$E$37,"อบรม")/60)</f>
        <v>0</v>
      </c>
      <c r="J27" s="85">
        <f>IF("อบรม"="","",SUMIFS('TIME REPORT'!$N$6:$N$37,'TIME REPORT'!$A$6:$A$37,J$4,'TIME REPORT'!$E$6:$E$37,"อบรม")+SUMIFS('TIME REPORT'!$P$6:$P$37,'TIME REPORT'!$A$6:$A$37,J$4,'TIME REPORT'!$E$6:$E$37,"อบรม")/60)</f>
        <v>0</v>
      </c>
      <c r="K27" s="85">
        <f>IF("อบรม"="","",SUMIFS('TIME REPORT'!$N$6:$N$37,'TIME REPORT'!$A$6:$A$37,K$4,'TIME REPORT'!$E$6:$E$37,"อบรม")+SUMIFS('TIME REPORT'!$P$6:$P$37,'TIME REPORT'!$A$6:$A$37,K$4,'TIME REPORT'!$E$6:$E$37,"อบรม")/60)</f>
        <v>0</v>
      </c>
      <c r="L27" s="85">
        <f>IF("อบรม"="","",SUMIFS('TIME REPORT'!$N$6:$N$37,'TIME REPORT'!$A$6:$A$37,L$4,'TIME REPORT'!$E$6:$E$37,"อบรม")+SUMIFS('TIME REPORT'!$P$6:$P$37,'TIME REPORT'!$A$6:$A$37,L$4,'TIME REPORT'!$E$6:$E$37,"อบรม")/60)</f>
        <v>0</v>
      </c>
      <c r="M27" s="85">
        <f>IF("อบรม"="","",SUMIFS('TIME REPORT'!$N$6:$N$37,'TIME REPORT'!$A$6:$A$37,M$4,'TIME REPORT'!$E$6:$E$37,"อบรม")+SUMIFS('TIME REPORT'!$P$6:$P$37,'TIME REPORT'!$A$6:$A$37,M$4,'TIME REPORT'!$E$6:$E$37,"อบรม")/60)</f>
        <v>0</v>
      </c>
      <c r="N27" s="85">
        <f>IF("อบรม"="","",SUMIFS('TIME REPORT'!$N$6:$N$37,'TIME REPORT'!$A$6:$A$37,N$4,'TIME REPORT'!$E$6:$E$37,"อบรม")+SUMIFS('TIME REPORT'!$P$6:$P$37,'TIME REPORT'!$A$6:$A$37,N$4,'TIME REPORT'!$E$6:$E$37,"อบรม")/60)</f>
        <v>0</v>
      </c>
      <c r="O27" s="85">
        <f>IF("อบรม"="","",SUMIFS('TIME REPORT'!$N$6:$N$37,'TIME REPORT'!$A$6:$A$37,O$4,'TIME REPORT'!$E$6:$E$37,"อบรม")+SUMIFS('TIME REPORT'!$P$6:$P$37,'TIME REPORT'!$A$6:$A$37,O$4,'TIME REPORT'!$E$6:$E$37,"อบรม")/60)</f>
        <v>0</v>
      </c>
      <c r="P27" s="85">
        <f>IF("อบรม"="","",SUMIFS('TIME REPORT'!$N$6:$N$37,'TIME REPORT'!$A$6:$A$37,P$4,'TIME REPORT'!$E$6:$E$37,"อบรม")+SUMIFS('TIME REPORT'!$P$6:$P$37,'TIME REPORT'!$A$6:$A$37,P$4,'TIME REPORT'!$E$6:$E$37,"อบรม")/60)</f>
        <v>0</v>
      </c>
      <c r="Q27" s="85">
        <f>IF("อบรม"="","",SUMIFS('TIME REPORT'!$N$6:$N$37,'TIME REPORT'!$A$6:$A$37,Q$4,'TIME REPORT'!$E$6:$E$37,"อบรม")+SUMIFS('TIME REPORT'!$P$6:$P$37,'TIME REPORT'!$A$6:$A$37,Q$4,'TIME REPORT'!$E$6:$E$37,"อบรม")/60)</f>
        <v>0</v>
      </c>
      <c r="R27" s="85">
        <f>IF("อบรม"="","",SUMIFS('TIME REPORT'!$N$6:$N$37,'TIME REPORT'!$A$6:$A$37,R$4,'TIME REPORT'!$E$6:$E$37,"อบรม")+SUMIFS('TIME REPORT'!$P$6:$P$37,'TIME REPORT'!$A$6:$A$37,R$4,'TIME REPORT'!$E$6:$E$37,"อบรม")/60)</f>
        <v>0</v>
      </c>
      <c r="S27" s="85">
        <f>IF("อบรม"="","",SUMIFS('TIME REPORT'!$N$6:$N$37,'TIME REPORT'!$A$6:$A$37,S$4,'TIME REPORT'!$E$6:$E$37,"อบรม")+SUMIFS('TIME REPORT'!$P$6:$P$37,'TIME REPORT'!$A$6:$A$37,S$4,'TIME REPORT'!$E$6:$E$37,"อบรม")/60)</f>
        <v>0</v>
      </c>
      <c r="T27" s="85">
        <f>IF("อบรม"="","",SUMIFS('TIME REPORT'!$N$6:$N$37,'TIME REPORT'!$A$6:$A$37,T$4,'TIME REPORT'!$E$6:$E$37,"อบรม")+SUMIFS('TIME REPORT'!$P$6:$P$37,'TIME REPORT'!$A$6:$A$37,T$4,'TIME REPORT'!$E$6:$E$37,"อบรม")/60)</f>
        <v>0</v>
      </c>
      <c r="U27" s="85">
        <f>IF("อบรม"="","",SUMIFS('TIME REPORT'!$N$6:$N$37,'TIME REPORT'!$A$6:$A$37,U$4,'TIME REPORT'!$E$6:$E$37,"อบรม")+SUMIFS('TIME REPORT'!$P$6:$P$37,'TIME REPORT'!$A$6:$A$37,U$4,'TIME REPORT'!$E$6:$E$37,"อบรม")/60)</f>
        <v>0</v>
      </c>
      <c r="V27" s="85">
        <f>IF("อบรม"="","",SUMIFS('TIME REPORT'!$N$6:$N$37,'TIME REPORT'!$A$6:$A$37,V$4,'TIME REPORT'!$E$6:$E$37,"อบรม")+SUMIFS('TIME REPORT'!$P$6:$P$37,'TIME REPORT'!$A$6:$A$37,V$4,'TIME REPORT'!$E$6:$E$37,"อบรม")/60)</f>
        <v>0</v>
      </c>
      <c r="W27" s="85">
        <f>IF("อบรม"="","",SUMIFS('TIME REPORT'!$N$6:$N$37,'TIME REPORT'!$A$6:$A$37,W$4,'TIME REPORT'!$E$6:$E$37,"อบรม")+SUMIFS('TIME REPORT'!$P$6:$P$37,'TIME REPORT'!$A$6:$A$37,W$4,'TIME REPORT'!$E$6:$E$37,"อบรม")/60)</f>
        <v>0</v>
      </c>
      <c r="X27" s="85">
        <f>IF("อบรม"="","",SUMIFS('TIME REPORT'!$N$6:$N$37,'TIME REPORT'!$A$6:$A$37,X$4,'TIME REPORT'!$E$6:$E$37,"อบรม")+SUMIFS('TIME REPORT'!$P$6:$P$37,'TIME REPORT'!$A$6:$A$37,X$4,'TIME REPORT'!$E$6:$E$37,"อบรม")/60)</f>
        <v>0</v>
      </c>
      <c r="Y27" s="85">
        <f>IF("อบรม"="","",SUMIFS('TIME REPORT'!$N$6:$N$37,'TIME REPORT'!$A$6:$A$37,Y$4,'TIME REPORT'!$E$6:$E$37,"อบรม")+SUMIFS('TIME REPORT'!$P$6:$P$37,'TIME REPORT'!$A$6:$A$37,Y$4,'TIME REPORT'!$E$6:$E$37,"อบรม")/60)</f>
        <v>0</v>
      </c>
      <c r="Z27" s="85">
        <f>IF("อบรม"="","",SUMIFS('TIME REPORT'!$N$6:$N$37,'TIME REPORT'!$A$6:$A$37,Z$4,'TIME REPORT'!$E$6:$E$37,"อบรม")+SUMIFS('TIME REPORT'!$P$6:$P$37,'TIME REPORT'!$A$6:$A$37,Z$4,'TIME REPORT'!$E$6:$E$37,"อบรม")/60)</f>
        <v>0</v>
      </c>
      <c r="AA27" s="85">
        <f>IF("อบรม"="","",SUMIFS('TIME REPORT'!$N$6:$N$37,'TIME REPORT'!$A$6:$A$37,AA$4,'TIME REPORT'!$E$6:$E$37,"อบรม")+SUMIFS('TIME REPORT'!$P$6:$P$37,'TIME REPORT'!$A$6:$A$37,AA$4,'TIME REPORT'!$E$6:$E$37,"อบรม")/60)</f>
        <v>0</v>
      </c>
      <c r="AB27" s="85">
        <f>IF("อบรม"="","",SUMIFS('TIME REPORT'!$N$6:$N$37,'TIME REPORT'!$A$6:$A$37,AB$4,'TIME REPORT'!$E$6:$E$37,"อบรม")+SUMIFS('TIME REPORT'!$P$6:$P$37,'TIME REPORT'!$A$6:$A$37,AB$4,'TIME REPORT'!$E$6:$E$37,"อบรม")/60)</f>
        <v>0</v>
      </c>
      <c r="AC27" s="85">
        <f>IF("อบรม"="","",SUMIFS('TIME REPORT'!$N$6:$N$37,'TIME REPORT'!$A$6:$A$37,AC$4,'TIME REPORT'!$E$6:$E$37,"อบรม")+SUMIFS('TIME REPORT'!$P$6:$P$37,'TIME REPORT'!$A$6:$A$37,AC$4,'TIME REPORT'!$E$6:$E$37,"อบรม")/60)</f>
        <v>0</v>
      </c>
      <c r="AD27" s="85">
        <f>IF("อบรม"="","",SUMIFS('TIME REPORT'!$N$6:$N$37,'TIME REPORT'!$A$6:$A$37,AD$4,'TIME REPORT'!$E$6:$E$37,"อบรม")+SUMIFS('TIME REPORT'!$P$6:$P$37,'TIME REPORT'!$A$6:$A$37,AD$4,'TIME REPORT'!$E$6:$E$37,"อบรม")/60)</f>
        <v>0</v>
      </c>
      <c r="AE27" s="85">
        <f>IF("อบรม"="","",SUMIFS('TIME REPORT'!$N$6:$N$37,'TIME REPORT'!$A$6:$A$37,AE$4,'TIME REPORT'!$E$6:$E$37,"อบรม")+SUMIFS('TIME REPORT'!$P$6:$P$37,'TIME REPORT'!$A$6:$A$37,AE$4,'TIME REPORT'!$E$6:$E$37,"อบรม")/60)</f>
        <v>0</v>
      </c>
      <c r="AF27" s="85">
        <f>IF("อบรม"="","",SUMIFS('TIME REPORT'!$N$6:$N$37,'TIME REPORT'!$A$6:$A$37,AF$4,'TIME REPORT'!$E$6:$E$37,"อบรม")+SUMIFS('TIME REPORT'!$P$6:$P$37,'TIME REPORT'!$A$6:$A$37,AF$4,'TIME REPORT'!$E$6:$E$37,"อบรม")/60)</f>
        <v>0</v>
      </c>
      <c r="AG27" s="85">
        <f>IF("อบรม"="","",SUMIFS('TIME REPORT'!$N$6:$N$37,'TIME REPORT'!$A$6:$A$37,AG$4,'TIME REPORT'!$E$6:$E$37,"อบรม")+SUMIFS('TIME REPORT'!$P$6:$P$37,'TIME REPORT'!$A$6:$A$37,AG$4,'TIME REPORT'!$E$6:$E$37,"อบรม")/60)</f>
        <v>0</v>
      </c>
      <c r="AH27" s="85">
        <f>IF("อบรม"="","",SUMIFS('TIME REPORT'!$N$6:$N$37,'TIME REPORT'!$A$6:$A$37,AH$4,'TIME REPORT'!$E$6:$E$37,"อบรม")+SUMIFS('TIME REPORT'!$P$6:$P$37,'TIME REPORT'!$A$6:$A$37,AH$4,'TIME REPORT'!$E$6:$E$37,"อบรม")/60)</f>
        <v>0</v>
      </c>
      <c r="AI27" s="85">
        <f>IF("อบรม"="","",SUMIFS('TIME REPORT'!$N$6:$N$37,'TIME REPORT'!$A$6:$A$37,AI$4,'TIME REPORT'!$E$6:$E$37,"อบรม")+SUMIFS('TIME REPORT'!$P$6:$P$37,'TIME REPORT'!$A$6:$A$37,AI$4,'TIME REPORT'!$E$6:$E$37,"อบรม")/60)</f>
        <v>0</v>
      </c>
      <c r="AJ27" s="85">
        <f>IF("อบรม"="","",SUMIFS('TIME REPORT'!$N$6:$N$37,'TIME REPORT'!$A$6:$A$37,AJ$4,'TIME REPORT'!$E$6:$E$37,"อบรม")+SUMIFS('TIME REPORT'!$P$6:$P$37,'TIME REPORT'!$A$6:$A$37,AJ$4,'TIME REPORT'!$E$6:$E$37,"อบรม")/60)</f>
        <v>0</v>
      </c>
      <c r="AK27" s="85">
        <f>IF("อบรม"="","",SUMIFS('TIME REPORT'!$N$6:$N$37,'TIME REPORT'!$A$6:$A$37,AK$4,'TIME REPORT'!$E$6:$E$37,"อบรม")+SUMIFS('TIME REPORT'!$P$6:$P$37,'TIME REPORT'!$A$6:$A$37,AK$4,'TIME REPORT'!$E$6:$E$37,"อบรม")/60)</f>
        <v>0</v>
      </c>
      <c r="AL27" s="86">
        <f t="shared" si="2"/>
        <v>0</v>
      </c>
      <c r="AM27" s="48"/>
      <c r="AN27" s="48"/>
      <c r="AO27" s="48"/>
      <c r="AP27" s="23"/>
      <c r="AQ27" s="23"/>
      <c r="AR27" s="23"/>
      <c r="AS27"/>
      <c r="AT27"/>
      <c r="AU27"/>
      <c r="AV27"/>
      <c r="AW27"/>
      <c r="AX27"/>
      <c r="AY27"/>
      <c r="AZ27"/>
      <c r="BA27"/>
    </row>
    <row r="28" spans="1:53">
      <c r="A28" s="52" t="s">
        <v>302</v>
      </c>
      <c r="B28" s="50"/>
      <c r="C28" s="50"/>
      <c r="D28" s="50"/>
      <c r="E28" s="50"/>
      <c r="F28" s="51"/>
      <c r="G28" s="85">
        <f>IF("ลา OT สะสม"="","",SUMIFS('TIME REPORT'!$N$6:$N$37,'TIME REPORT'!$A$6:$A$37,G$4,'TIME REPORT'!$E$6:$E$37,"ลา OT สะสม")+SUMIFS('TIME REPORT'!$P$6:$P$37,'TIME REPORT'!$A$6:$A$37,G$4,'TIME REPORT'!$E$6:$E$37,"ลา OT สะสม")/60)</f>
        <v>0</v>
      </c>
      <c r="H28" s="85">
        <f>IF("ลา OT สะสม"="","",SUMIFS('TIME REPORT'!$N$6:$N$37,'TIME REPORT'!$A$6:$A$37,H$4,'TIME REPORT'!$E$6:$E$37,"ลา OT สะสม")+SUMIFS('TIME REPORT'!$P$6:$P$37,'TIME REPORT'!$A$6:$A$37,H$4,'TIME REPORT'!$E$6:$E$37,"ลา OT สะสม")/60)</f>
        <v>0</v>
      </c>
      <c r="I28" s="85">
        <f>IF("ลา OT สะสม"="","",SUMIFS('TIME REPORT'!$N$6:$N$37,'TIME REPORT'!$A$6:$A$37,I$4,'TIME REPORT'!$E$6:$E$37,"ลา OT สะสม")+SUMIFS('TIME REPORT'!$P$6:$P$37,'TIME REPORT'!$A$6:$A$37,I$4,'TIME REPORT'!$E$6:$E$37,"ลา OT สะสม")/60)</f>
        <v>0</v>
      </c>
      <c r="J28" s="85">
        <f>IF("ลา OT สะสม"="","",SUMIFS('TIME REPORT'!$N$6:$N$37,'TIME REPORT'!$A$6:$A$37,J$4,'TIME REPORT'!$E$6:$E$37,"ลา OT สะสม")+SUMIFS('TIME REPORT'!$P$6:$P$37,'TIME REPORT'!$A$6:$A$37,J$4,'TIME REPORT'!$E$6:$E$37,"ลา OT สะสม")/60)</f>
        <v>0</v>
      </c>
      <c r="K28" s="85">
        <f>IF("ลา OT สะสม"="","",SUMIFS('TIME REPORT'!$N$6:$N$37,'TIME REPORT'!$A$6:$A$37,K$4,'TIME REPORT'!$E$6:$E$37,"ลา OT สะสม")+SUMIFS('TIME REPORT'!$P$6:$P$37,'TIME REPORT'!$A$6:$A$37,K$4,'TIME REPORT'!$E$6:$E$37,"ลา OT สะสม")/60)</f>
        <v>0</v>
      </c>
      <c r="L28" s="85">
        <f>IF("ลา OT สะสม"="","",SUMIFS('TIME REPORT'!$N$6:$N$37,'TIME REPORT'!$A$6:$A$37,L$4,'TIME REPORT'!$E$6:$E$37,"ลา OT สะสม")+SUMIFS('TIME REPORT'!$P$6:$P$37,'TIME REPORT'!$A$6:$A$37,L$4,'TIME REPORT'!$E$6:$E$37,"ลา OT สะสม")/60)</f>
        <v>0</v>
      </c>
      <c r="M28" s="85">
        <f>IF("ลา OT สะสม"="","",SUMIFS('TIME REPORT'!$N$6:$N$37,'TIME REPORT'!$A$6:$A$37,M$4,'TIME REPORT'!$E$6:$E$37,"ลา OT สะสม")+SUMIFS('TIME REPORT'!$P$6:$P$37,'TIME REPORT'!$A$6:$A$37,M$4,'TIME REPORT'!$E$6:$E$37,"ลา OT สะสม")/60)</f>
        <v>0</v>
      </c>
      <c r="N28" s="85">
        <f>IF("ลา OT สะสม"="","",SUMIFS('TIME REPORT'!$N$6:$N$37,'TIME REPORT'!$A$6:$A$37,N$4,'TIME REPORT'!$E$6:$E$37,"ลา OT สะสม")+SUMIFS('TIME REPORT'!$P$6:$P$37,'TIME REPORT'!$A$6:$A$37,N$4,'TIME REPORT'!$E$6:$E$37,"ลา OT สะสม")/60)</f>
        <v>0</v>
      </c>
      <c r="O28" s="85">
        <f>IF("ลา OT สะสม"="","",SUMIFS('TIME REPORT'!$N$6:$N$37,'TIME REPORT'!$A$6:$A$37,O$4,'TIME REPORT'!$E$6:$E$37,"ลา OT สะสม")+SUMIFS('TIME REPORT'!$P$6:$P$37,'TIME REPORT'!$A$6:$A$37,O$4,'TIME REPORT'!$E$6:$E$37,"ลา OT สะสม")/60)</f>
        <v>0</v>
      </c>
      <c r="P28" s="85">
        <f>IF("ลา OT สะสม"="","",SUMIFS('TIME REPORT'!$N$6:$N$37,'TIME REPORT'!$A$6:$A$37,P$4,'TIME REPORT'!$E$6:$E$37,"ลา OT สะสม")+SUMIFS('TIME REPORT'!$P$6:$P$37,'TIME REPORT'!$A$6:$A$37,P$4,'TIME REPORT'!$E$6:$E$37,"ลา OT สะสม")/60)</f>
        <v>0</v>
      </c>
      <c r="Q28" s="85">
        <f>IF("ลา OT สะสม"="","",SUMIFS('TIME REPORT'!$N$6:$N$37,'TIME REPORT'!$A$6:$A$37,Q$4,'TIME REPORT'!$E$6:$E$37,"ลา OT สะสม")+SUMIFS('TIME REPORT'!$P$6:$P$37,'TIME REPORT'!$A$6:$A$37,Q$4,'TIME REPORT'!$E$6:$E$37,"ลา OT สะสม")/60)</f>
        <v>0</v>
      </c>
      <c r="R28" s="85">
        <f>IF("ลา OT สะสม"="","",SUMIFS('TIME REPORT'!$N$6:$N$37,'TIME REPORT'!$A$6:$A$37,R$4,'TIME REPORT'!$E$6:$E$37,"ลา OT สะสม")+SUMIFS('TIME REPORT'!$P$6:$P$37,'TIME REPORT'!$A$6:$A$37,R$4,'TIME REPORT'!$E$6:$E$37,"ลา OT สะสม")/60)</f>
        <v>0</v>
      </c>
      <c r="S28" s="85">
        <f>IF("ลา OT สะสม"="","",SUMIFS('TIME REPORT'!$N$6:$N$37,'TIME REPORT'!$A$6:$A$37,S$4,'TIME REPORT'!$E$6:$E$37,"ลา OT สะสม")+SUMIFS('TIME REPORT'!$P$6:$P$37,'TIME REPORT'!$A$6:$A$37,S$4,'TIME REPORT'!$E$6:$E$37,"ลา OT สะสม")/60)</f>
        <v>0</v>
      </c>
      <c r="T28" s="85">
        <f>IF("ลา OT สะสม"="","",SUMIFS('TIME REPORT'!$N$6:$N$37,'TIME REPORT'!$A$6:$A$37,T$4,'TIME REPORT'!$E$6:$E$37,"ลา OT สะสม")+SUMIFS('TIME REPORT'!$P$6:$P$37,'TIME REPORT'!$A$6:$A$37,T$4,'TIME REPORT'!$E$6:$E$37,"ลา OT สะสม")/60)</f>
        <v>0</v>
      </c>
      <c r="U28" s="85">
        <f>IF("ลา OT สะสม"="","",SUMIFS('TIME REPORT'!$N$6:$N$37,'TIME REPORT'!$A$6:$A$37,U$4,'TIME REPORT'!$E$6:$E$37,"ลา OT สะสม")+SUMIFS('TIME REPORT'!$P$6:$P$37,'TIME REPORT'!$A$6:$A$37,U$4,'TIME REPORT'!$E$6:$E$37,"ลา OT สะสม")/60)</f>
        <v>0</v>
      </c>
      <c r="V28" s="85">
        <f>IF("ลา OT สะสม"="","",SUMIFS('TIME REPORT'!$N$6:$N$37,'TIME REPORT'!$A$6:$A$37,V$4,'TIME REPORT'!$E$6:$E$37,"ลา OT สะสม")+SUMIFS('TIME REPORT'!$P$6:$P$37,'TIME REPORT'!$A$6:$A$37,V$4,'TIME REPORT'!$E$6:$E$37,"ลา OT สะสม")/60)</f>
        <v>0</v>
      </c>
      <c r="W28" s="85">
        <f>IF("ลา OT สะสม"="","",SUMIFS('TIME REPORT'!$N$6:$N$37,'TIME REPORT'!$A$6:$A$37,W$4,'TIME REPORT'!$E$6:$E$37,"ลา OT สะสม")+SUMIFS('TIME REPORT'!$P$6:$P$37,'TIME REPORT'!$A$6:$A$37,W$4,'TIME REPORT'!$E$6:$E$37,"ลา OT สะสม")/60)</f>
        <v>0</v>
      </c>
      <c r="X28" s="85">
        <f>IF("ลา OT สะสม"="","",SUMIFS('TIME REPORT'!$N$6:$N$37,'TIME REPORT'!$A$6:$A$37,X$4,'TIME REPORT'!$E$6:$E$37,"ลา OT สะสม")+SUMIFS('TIME REPORT'!$P$6:$P$37,'TIME REPORT'!$A$6:$A$37,X$4,'TIME REPORT'!$E$6:$E$37,"ลา OT สะสม")/60)</f>
        <v>0</v>
      </c>
      <c r="Y28" s="85">
        <f>IF("ลา OT สะสม"="","",SUMIFS('TIME REPORT'!$N$6:$N$37,'TIME REPORT'!$A$6:$A$37,Y$4,'TIME REPORT'!$E$6:$E$37,"ลา OT สะสม")+SUMIFS('TIME REPORT'!$P$6:$P$37,'TIME REPORT'!$A$6:$A$37,Y$4,'TIME REPORT'!$E$6:$E$37,"ลา OT สะสม")/60)</f>
        <v>0</v>
      </c>
      <c r="Z28" s="85">
        <f>IF("ลา OT สะสม"="","",SUMIFS('TIME REPORT'!$N$6:$N$37,'TIME REPORT'!$A$6:$A$37,Z$4,'TIME REPORT'!$E$6:$E$37,"ลา OT สะสม")+SUMIFS('TIME REPORT'!$P$6:$P$37,'TIME REPORT'!$A$6:$A$37,Z$4,'TIME REPORT'!$E$6:$E$37,"ลา OT สะสม")/60)</f>
        <v>0</v>
      </c>
      <c r="AA28" s="85">
        <f>IF("ลา OT สะสม"="","",SUMIFS('TIME REPORT'!$N$6:$N$37,'TIME REPORT'!$A$6:$A$37,AA$4,'TIME REPORT'!$E$6:$E$37,"ลา OT สะสม")+SUMIFS('TIME REPORT'!$P$6:$P$37,'TIME REPORT'!$A$6:$A$37,AA$4,'TIME REPORT'!$E$6:$E$37,"ลา OT สะสม")/60)</f>
        <v>0</v>
      </c>
      <c r="AB28" s="85">
        <f>IF("ลา OT สะสม"="","",SUMIFS('TIME REPORT'!$N$6:$N$37,'TIME REPORT'!$A$6:$A$37,AB$4,'TIME REPORT'!$E$6:$E$37,"ลา OT สะสม")+SUMIFS('TIME REPORT'!$P$6:$P$37,'TIME REPORT'!$A$6:$A$37,AB$4,'TIME REPORT'!$E$6:$E$37,"ลา OT สะสม")/60)</f>
        <v>0</v>
      </c>
      <c r="AC28" s="85">
        <f>IF("ลา OT สะสม"="","",SUMIFS('TIME REPORT'!$N$6:$N$37,'TIME REPORT'!$A$6:$A$37,AC$4,'TIME REPORT'!$E$6:$E$37,"ลา OT สะสม")+SUMIFS('TIME REPORT'!$P$6:$P$37,'TIME REPORT'!$A$6:$A$37,AC$4,'TIME REPORT'!$E$6:$E$37,"ลา OT สะสม")/60)</f>
        <v>0</v>
      </c>
      <c r="AD28" s="85">
        <f>IF("ลา OT สะสม"="","",SUMIFS('TIME REPORT'!$N$6:$N$37,'TIME REPORT'!$A$6:$A$37,AD$4,'TIME REPORT'!$E$6:$E$37,"ลา OT สะสม")+SUMIFS('TIME REPORT'!$P$6:$P$37,'TIME REPORT'!$A$6:$A$37,AD$4,'TIME REPORT'!$E$6:$E$37,"ลา OT สะสม")/60)</f>
        <v>0</v>
      </c>
      <c r="AE28" s="85">
        <f>IF("ลา OT สะสม"="","",SUMIFS('TIME REPORT'!$N$6:$N$37,'TIME REPORT'!$A$6:$A$37,AE$4,'TIME REPORT'!$E$6:$E$37,"ลา OT สะสม")+SUMIFS('TIME REPORT'!$P$6:$P$37,'TIME REPORT'!$A$6:$A$37,AE$4,'TIME REPORT'!$E$6:$E$37,"ลา OT สะสม")/60)</f>
        <v>0</v>
      </c>
      <c r="AF28" s="85">
        <f>IF("ลา OT สะสม"="","",SUMIFS('TIME REPORT'!$N$6:$N$37,'TIME REPORT'!$A$6:$A$37,AF$4,'TIME REPORT'!$E$6:$E$37,"ลา OT สะสม")+SUMIFS('TIME REPORT'!$P$6:$P$37,'TIME REPORT'!$A$6:$A$37,AF$4,'TIME REPORT'!$E$6:$E$37,"ลา OT สะสม")/60)</f>
        <v>0</v>
      </c>
      <c r="AG28" s="85">
        <f>IF("ลา OT สะสม"="","",SUMIFS('TIME REPORT'!$N$6:$N$37,'TIME REPORT'!$A$6:$A$37,AG$4,'TIME REPORT'!$E$6:$E$37,"ลา OT สะสม")+SUMIFS('TIME REPORT'!$P$6:$P$37,'TIME REPORT'!$A$6:$A$37,AG$4,'TIME REPORT'!$E$6:$E$37,"ลา OT สะสม")/60)</f>
        <v>0</v>
      </c>
      <c r="AH28" s="85">
        <f>IF("ลา OT สะสม"="","",SUMIFS('TIME REPORT'!$N$6:$N$37,'TIME REPORT'!$A$6:$A$37,AH$4,'TIME REPORT'!$E$6:$E$37,"ลา OT สะสม")+SUMIFS('TIME REPORT'!$P$6:$P$37,'TIME REPORT'!$A$6:$A$37,AH$4,'TIME REPORT'!$E$6:$E$37,"ลา OT สะสม")/60)</f>
        <v>0</v>
      </c>
      <c r="AI28" s="85">
        <f>IF("ลา OT สะสม"="","",SUMIFS('TIME REPORT'!$N$6:$N$37,'TIME REPORT'!$A$6:$A$37,AI$4,'TIME REPORT'!$E$6:$E$37,"ลา OT สะสม")+SUMIFS('TIME REPORT'!$P$6:$P$37,'TIME REPORT'!$A$6:$A$37,AI$4,'TIME REPORT'!$E$6:$E$37,"ลา OT สะสม")/60)</f>
        <v>0</v>
      </c>
      <c r="AJ28" s="85">
        <f>IF("ลา OT สะสม"="","",SUMIFS('TIME REPORT'!$N$6:$N$37,'TIME REPORT'!$A$6:$A$37,AJ$4,'TIME REPORT'!$E$6:$E$37,"ลา OT สะสม")+SUMIFS('TIME REPORT'!$P$6:$P$37,'TIME REPORT'!$A$6:$A$37,AJ$4,'TIME REPORT'!$E$6:$E$37,"ลา OT สะสม")/60)</f>
        <v>0</v>
      </c>
      <c r="AK28" s="85">
        <f>IF("ลา OT สะสม"="","",SUMIFS('TIME REPORT'!$N$6:$N$37,'TIME REPORT'!$A$6:$A$37,AK$4,'TIME REPORT'!$E$6:$E$37,"ลา OT สะสม")+SUMIFS('TIME REPORT'!$P$6:$P$37,'TIME REPORT'!$A$6:$A$37,AK$4,'TIME REPORT'!$E$6:$E$37,"ลา OT สะสม")/60)</f>
        <v>0</v>
      </c>
      <c r="AL28" s="86">
        <f t="shared" si="2"/>
        <v>0</v>
      </c>
      <c r="AM28" s="48"/>
      <c r="AN28" s="48"/>
      <c r="AO28" s="48"/>
      <c r="AP28" s="23"/>
      <c r="AQ28" s="23"/>
      <c r="AR28" s="23"/>
      <c r="AS28"/>
      <c r="AT28"/>
      <c r="AU28"/>
      <c r="AV28"/>
      <c r="AW28"/>
      <c r="AX28"/>
      <c r="AY28"/>
      <c r="AZ28"/>
      <c r="BA28"/>
    </row>
    <row r="29" spans="1:53" ht="29.4" thickBot="1">
      <c r="A29" s="52" t="s">
        <v>303</v>
      </c>
      <c r="B29" s="50"/>
      <c r="C29" s="50"/>
      <c r="D29" s="50"/>
      <c r="E29" s="50"/>
      <c r="F29" s="51"/>
      <c r="G29" s="85">
        <f>IF("ลากิจ"="","",SUMIFS('TIME REPORT'!$N$6:$N$37,'TIME REPORT'!$A$6:$A$37,G$4,'TIME REPORT'!$E$6:$E$37,"ลากิจ")+SUMIFS('TIME REPORT'!$P$6:$P$37,'TIME REPORT'!$A$6:$A$37,G$4,'TIME REPORT'!$E$6:$E$37,"ลากิจ")/60)</f>
        <v>0</v>
      </c>
      <c r="H29" s="85">
        <f>IF("ลากิจ"="","",SUMIFS('TIME REPORT'!$N$6:$N$37,'TIME REPORT'!$A$6:$A$37,H$4,'TIME REPORT'!$E$6:$E$37,"ลากิจ")+SUMIFS('TIME REPORT'!$P$6:$P$37,'TIME REPORT'!$A$6:$A$37,H$4,'TIME REPORT'!$E$6:$E$37,"ลากิจ")/60)</f>
        <v>0</v>
      </c>
      <c r="I29" s="85">
        <f>IF("ลากิจ"="","",SUMIFS('TIME REPORT'!$N$6:$N$37,'TIME REPORT'!$A$6:$A$37,I$4,'TIME REPORT'!$E$6:$E$37,"ลากิจ")+SUMIFS('TIME REPORT'!$P$6:$P$37,'TIME REPORT'!$A$6:$A$37,I$4,'TIME REPORT'!$E$6:$E$37,"ลากิจ")/60)</f>
        <v>0</v>
      </c>
      <c r="J29" s="85">
        <f>IF("ลากิจ"="","",SUMIFS('TIME REPORT'!$N$6:$N$37,'TIME REPORT'!$A$6:$A$37,J$4,'TIME REPORT'!$E$6:$E$37,"ลากิจ")+SUMIFS('TIME REPORT'!$P$6:$P$37,'TIME REPORT'!$A$6:$A$37,J$4,'TIME REPORT'!$E$6:$E$37,"ลากิจ")/60)</f>
        <v>0</v>
      </c>
      <c r="K29" s="85">
        <f>IF("ลากิจ"="","",SUMIFS('TIME REPORT'!$N$6:$N$37,'TIME REPORT'!$A$6:$A$37,K$4,'TIME REPORT'!$E$6:$E$37,"ลากิจ")+SUMIFS('TIME REPORT'!$P$6:$P$37,'TIME REPORT'!$A$6:$A$37,K$4,'TIME REPORT'!$E$6:$E$37,"ลากิจ")/60)</f>
        <v>0</v>
      </c>
      <c r="L29" s="85">
        <f>IF("ลากิจ"="","",SUMIFS('TIME REPORT'!$N$6:$N$37,'TIME REPORT'!$A$6:$A$37,L$4,'TIME REPORT'!$E$6:$E$37,"ลากิจ")+SUMIFS('TIME REPORT'!$P$6:$P$37,'TIME REPORT'!$A$6:$A$37,L$4,'TIME REPORT'!$E$6:$E$37,"ลากิจ")/60)</f>
        <v>0</v>
      </c>
      <c r="M29" s="85">
        <f>IF("ลากิจ"="","",SUMIFS('TIME REPORT'!$N$6:$N$37,'TIME REPORT'!$A$6:$A$37,M$4,'TIME REPORT'!$E$6:$E$37,"ลากิจ")+SUMIFS('TIME REPORT'!$P$6:$P$37,'TIME REPORT'!$A$6:$A$37,M$4,'TIME REPORT'!$E$6:$E$37,"ลากิจ")/60)</f>
        <v>0</v>
      </c>
      <c r="N29" s="85">
        <f>IF("ลากิจ"="","",SUMIFS('TIME REPORT'!$N$6:$N$37,'TIME REPORT'!$A$6:$A$37,N$4,'TIME REPORT'!$E$6:$E$37,"ลากิจ")+SUMIFS('TIME REPORT'!$P$6:$P$37,'TIME REPORT'!$A$6:$A$37,N$4,'TIME REPORT'!$E$6:$E$37,"ลากิจ")/60)</f>
        <v>0</v>
      </c>
      <c r="O29" s="85">
        <f>IF("ลากิจ"="","",SUMIFS('TIME REPORT'!$N$6:$N$37,'TIME REPORT'!$A$6:$A$37,O$4,'TIME REPORT'!$E$6:$E$37,"ลากิจ")+SUMIFS('TIME REPORT'!$P$6:$P$37,'TIME REPORT'!$A$6:$A$37,O$4,'TIME REPORT'!$E$6:$E$37,"ลากิจ")/60)</f>
        <v>0</v>
      </c>
      <c r="P29" s="92">
        <f>IF("ลากิจ"="","",SUMIFS('TIME REPORT'!$N$6:$N$37,'TIME REPORT'!$A$6:$A$37,P$4,'TIME REPORT'!$E$6:$E$37,"ลากิจ")+SUMIFS('TIME REPORT'!$P$6:$P$37,'TIME REPORT'!$A$6:$A$37,P$4,'TIME REPORT'!$E$6:$E$37,"ลากิจ")/60)</f>
        <v>0</v>
      </c>
      <c r="Q29" s="85">
        <f>IF("ลากิจ"="","",SUMIFS('TIME REPORT'!$N$6:$N$37,'TIME REPORT'!$A$6:$A$37,Q$4,'TIME REPORT'!$E$6:$E$37,"ลากิจ")+SUMIFS('TIME REPORT'!$P$6:$P$37,'TIME REPORT'!$A$6:$A$37,Q$4,'TIME REPORT'!$E$6:$E$37,"ลากิจ")/60)</f>
        <v>0</v>
      </c>
      <c r="R29" s="85">
        <f>IF("ลากิจ"="","",SUMIFS('TIME REPORT'!$N$6:$N$37,'TIME REPORT'!$A$6:$A$37,R$4,'TIME REPORT'!$E$6:$E$37,"ลากิจ")+SUMIFS('TIME REPORT'!$P$6:$P$37,'TIME REPORT'!$A$6:$A$37,R$4,'TIME REPORT'!$E$6:$E$37,"ลากิจ")/60)</f>
        <v>0</v>
      </c>
      <c r="S29" s="85">
        <f>IF("ลากิจ"="","",SUMIFS('TIME REPORT'!$N$6:$N$37,'TIME REPORT'!$A$6:$A$37,S$4,'TIME REPORT'!$E$6:$E$37,"ลากิจ")+SUMIFS('TIME REPORT'!$P$6:$P$37,'TIME REPORT'!$A$6:$A$37,S$4,'TIME REPORT'!$E$6:$E$37,"ลากิจ")/60)</f>
        <v>0</v>
      </c>
      <c r="T29" s="85">
        <f>IF("ลากิจ"="","",SUMIFS('TIME REPORT'!$N$6:$N$37,'TIME REPORT'!$A$6:$A$37,T$4,'TIME REPORT'!$E$6:$E$37,"ลากิจ")+SUMIFS('TIME REPORT'!$P$6:$P$37,'TIME REPORT'!$A$6:$A$37,T$4,'TIME REPORT'!$E$6:$E$37,"ลากิจ")/60)</f>
        <v>0</v>
      </c>
      <c r="U29" s="85">
        <f>IF("ลากิจ"="","",SUMIFS('TIME REPORT'!$N$6:$N$37,'TIME REPORT'!$A$6:$A$37,U$4,'TIME REPORT'!$E$6:$E$37,"ลากิจ")+SUMIFS('TIME REPORT'!$P$6:$P$37,'TIME REPORT'!$A$6:$A$37,U$4,'TIME REPORT'!$E$6:$E$37,"ลากิจ")/60)</f>
        <v>0</v>
      </c>
      <c r="V29" s="85">
        <f>IF("ลากิจ"="","",SUMIFS('TIME REPORT'!$N$6:$N$37,'TIME REPORT'!$A$6:$A$37,V$4,'TIME REPORT'!$E$6:$E$37,"ลากิจ")+SUMIFS('TIME REPORT'!$P$6:$P$37,'TIME REPORT'!$A$6:$A$37,V$4,'TIME REPORT'!$E$6:$E$37,"ลากิจ")/60)</f>
        <v>0</v>
      </c>
      <c r="W29" s="85">
        <f>IF("ลากิจ"="","",SUMIFS('TIME REPORT'!$N$6:$N$37,'TIME REPORT'!$A$6:$A$37,W$4,'TIME REPORT'!$E$6:$E$37,"ลากิจ")+SUMIFS('TIME REPORT'!$P$6:$P$37,'TIME REPORT'!$A$6:$A$37,W$4,'TIME REPORT'!$E$6:$E$37,"ลากิจ")/60)</f>
        <v>0</v>
      </c>
      <c r="X29" s="85">
        <f>IF("ลากิจ"="","",SUMIFS('TIME REPORT'!$N$6:$N$37,'TIME REPORT'!$A$6:$A$37,X$4,'TIME REPORT'!$E$6:$E$37,"ลากิจ")+SUMIFS('TIME REPORT'!$P$6:$P$37,'TIME REPORT'!$A$6:$A$37,X$4,'TIME REPORT'!$E$6:$E$37,"ลากิจ")/60)</f>
        <v>0</v>
      </c>
      <c r="Y29" s="85">
        <f>IF("ลากิจ"="","",SUMIFS('TIME REPORT'!$N$6:$N$37,'TIME REPORT'!$A$6:$A$37,Y$4,'TIME REPORT'!$E$6:$E$37,"ลากิจ")+SUMIFS('TIME REPORT'!$P$6:$P$37,'TIME REPORT'!$A$6:$A$37,Y$4,'TIME REPORT'!$E$6:$E$37,"ลากิจ")/60)</f>
        <v>0</v>
      </c>
      <c r="Z29" s="85">
        <f>IF("ลากิจ"="","",SUMIFS('TIME REPORT'!$N$6:$N$37,'TIME REPORT'!$A$6:$A$37,Z$4,'TIME REPORT'!$E$6:$E$37,"ลากิจ")+SUMIFS('TIME REPORT'!$P$6:$P$37,'TIME REPORT'!$A$6:$A$37,Z$4,'TIME REPORT'!$E$6:$E$37,"ลากิจ")/60)</f>
        <v>0</v>
      </c>
      <c r="AA29" s="85">
        <f>IF("ลากิจ"="","",SUMIFS('TIME REPORT'!$N$6:$N$37,'TIME REPORT'!$A$6:$A$37,AA$4,'TIME REPORT'!$E$6:$E$37,"ลากิจ")+SUMIFS('TIME REPORT'!$P$6:$P$37,'TIME REPORT'!$A$6:$A$37,AA$4,'TIME REPORT'!$E$6:$E$37,"ลากิจ")/60)</f>
        <v>0</v>
      </c>
      <c r="AB29" s="85">
        <f>IF("ลากิจ"="","",SUMIFS('TIME REPORT'!$N$6:$N$37,'TIME REPORT'!$A$6:$A$37,AB$4,'TIME REPORT'!$E$6:$E$37,"ลากิจ")+SUMIFS('TIME REPORT'!$P$6:$P$37,'TIME REPORT'!$A$6:$A$37,AB$4,'TIME REPORT'!$E$6:$E$37,"ลากิจ")/60)</f>
        <v>0</v>
      </c>
      <c r="AC29" s="85">
        <f>IF("ลากิจ"="","",SUMIFS('TIME REPORT'!$N$6:$N$37,'TIME REPORT'!$A$6:$A$37,AC$4,'TIME REPORT'!$E$6:$E$37,"ลากิจ")+SUMIFS('TIME REPORT'!$P$6:$P$37,'TIME REPORT'!$A$6:$A$37,AC$4,'TIME REPORT'!$E$6:$E$37,"ลากิจ")/60)</f>
        <v>0</v>
      </c>
      <c r="AD29" s="85">
        <f>IF("ลากิจ"="","",SUMIFS('TIME REPORT'!$N$6:$N$37,'TIME REPORT'!$A$6:$A$37,AD$4,'TIME REPORT'!$E$6:$E$37,"ลากิจ")+SUMIFS('TIME REPORT'!$P$6:$P$37,'TIME REPORT'!$A$6:$A$37,AD$4,'TIME REPORT'!$E$6:$E$37,"ลากิจ")/60)</f>
        <v>0</v>
      </c>
      <c r="AE29" s="85">
        <f>IF("ลากิจ"="","",SUMIFS('TIME REPORT'!$N$6:$N$37,'TIME REPORT'!$A$6:$A$37,AE$4,'TIME REPORT'!$E$6:$E$37,"ลากิจ")+SUMIFS('TIME REPORT'!$P$6:$P$37,'TIME REPORT'!$A$6:$A$37,AE$4,'TIME REPORT'!$E$6:$E$37,"ลากิจ")/60)</f>
        <v>0</v>
      </c>
      <c r="AF29" s="85">
        <f>IF("ลากิจ"="","",SUMIFS('TIME REPORT'!$N$6:$N$37,'TIME REPORT'!$A$6:$A$37,AF$4,'TIME REPORT'!$E$6:$E$37,"ลากิจ")+SUMIFS('TIME REPORT'!$P$6:$P$37,'TIME REPORT'!$A$6:$A$37,AF$4,'TIME REPORT'!$E$6:$E$37,"ลากิจ")/60)</f>
        <v>0</v>
      </c>
      <c r="AG29" s="85">
        <f>IF("ลากิจ"="","",SUMIFS('TIME REPORT'!$N$6:$N$37,'TIME REPORT'!$A$6:$A$37,AG$4,'TIME REPORT'!$E$6:$E$37,"ลากิจ")+SUMIFS('TIME REPORT'!$P$6:$P$37,'TIME REPORT'!$A$6:$A$37,AG$4,'TIME REPORT'!$E$6:$E$37,"ลากิจ")/60)</f>
        <v>0</v>
      </c>
      <c r="AH29" s="85">
        <f>IF("ลากิจ"="","",SUMIFS('TIME REPORT'!$N$6:$N$37,'TIME REPORT'!$A$6:$A$37,AH$4,'TIME REPORT'!$E$6:$E$37,"ลากิจ")+SUMIFS('TIME REPORT'!$P$6:$P$37,'TIME REPORT'!$A$6:$A$37,AH$4,'TIME REPORT'!$E$6:$E$37,"ลากิจ")/60)</f>
        <v>0</v>
      </c>
      <c r="AI29" s="85">
        <f>IF("ลากิจ"="","",SUMIFS('TIME REPORT'!$N$6:$N$37,'TIME REPORT'!$A$6:$A$37,AI$4,'TIME REPORT'!$E$6:$E$37,"ลากิจ")+SUMIFS('TIME REPORT'!$P$6:$P$37,'TIME REPORT'!$A$6:$A$37,AI$4,'TIME REPORT'!$E$6:$E$37,"ลากิจ")/60)</f>
        <v>0</v>
      </c>
      <c r="AJ29" s="85">
        <f>IF("ลากิจ"="","",SUMIFS('TIME REPORT'!$N$6:$N$37,'TIME REPORT'!$A$6:$A$37,AJ$4,'TIME REPORT'!$E$6:$E$37,"ลากิจ")+SUMIFS('TIME REPORT'!$P$6:$P$37,'TIME REPORT'!$A$6:$A$37,AJ$4,'TIME REPORT'!$E$6:$E$37,"ลากิจ")/60)</f>
        <v>0</v>
      </c>
      <c r="AK29" s="85">
        <f>IF("ลากิจ"="","",SUMIFS('TIME REPORT'!$N$6:$N$37,'TIME REPORT'!$A$6:$A$37,AK$4,'TIME REPORT'!$E$6:$E$37,"ลากิจ")+SUMIFS('TIME REPORT'!$P$6:$P$37,'TIME REPORT'!$A$6:$A$37,AK$4,'TIME REPORT'!$E$6:$E$37,"ลากิจ")/60)</f>
        <v>0</v>
      </c>
      <c r="AL29" s="86">
        <f t="shared" si="2"/>
        <v>0</v>
      </c>
      <c r="AM29" s="48"/>
      <c r="AN29" s="48"/>
      <c r="AO29" s="48"/>
      <c r="AP29" s="23"/>
      <c r="AQ29" s="23"/>
      <c r="AR29" s="23"/>
      <c r="AS29"/>
      <c r="AT29"/>
      <c r="AU29"/>
      <c r="AV29"/>
      <c r="AW29"/>
      <c r="AX29"/>
      <c r="AY29"/>
      <c r="AZ29"/>
      <c r="BA29"/>
    </row>
    <row r="30" spans="1:53" ht="29.4" thickBot="1">
      <c r="A30" s="40" t="s">
        <v>28</v>
      </c>
      <c r="B30" s="41"/>
      <c r="C30" s="41"/>
      <c r="D30" s="41"/>
      <c r="E30" s="41"/>
      <c r="F30" s="42"/>
      <c r="G30" s="93">
        <f>SUM(G24:G29)</f>
        <v>0</v>
      </c>
      <c r="H30" s="93">
        <f t="shared" ref="H30:AK30" si="3">SUM(H24:H29)</f>
        <v>0</v>
      </c>
      <c r="I30" s="93">
        <f t="shared" si="3"/>
        <v>0</v>
      </c>
      <c r="J30" s="93">
        <f t="shared" si="3"/>
        <v>0</v>
      </c>
      <c r="K30" s="93">
        <f t="shared" si="3"/>
        <v>0</v>
      </c>
      <c r="L30" s="93">
        <f t="shared" si="3"/>
        <v>0</v>
      </c>
      <c r="M30" s="93">
        <f t="shared" si="3"/>
        <v>0</v>
      </c>
      <c r="N30" s="93">
        <f t="shared" si="3"/>
        <v>0</v>
      </c>
      <c r="O30" s="93">
        <f t="shared" si="3"/>
        <v>0</v>
      </c>
      <c r="P30" s="90">
        <f t="shared" si="3"/>
        <v>0</v>
      </c>
      <c r="Q30" s="93">
        <f t="shared" si="3"/>
        <v>0</v>
      </c>
      <c r="R30" s="93">
        <f t="shared" si="3"/>
        <v>0</v>
      </c>
      <c r="S30" s="93">
        <f t="shared" si="3"/>
        <v>0</v>
      </c>
      <c r="T30" s="93">
        <f t="shared" si="3"/>
        <v>0</v>
      </c>
      <c r="U30" s="93">
        <f t="shared" si="3"/>
        <v>0</v>
      </c>
      <c r="V30" s="93">
        <f t="shared" si="3"/>
        <v>0</v>
      </c>
      <c r="W30" s="93">
        <f t="shared" si="3"/>
        <v>0</v>
      </c>
      <c r="X30" s="90">
        <f t="shared" si="3"/>
        <v>0</v>
      </c>
      <c r="Y30" s="93">
        <f t="shared" si="3"/>
        <v>0</v>
      </c>
      <c r="Z30" s="93">
        <f t="shared" si="3"/>
        <v>0</v>
      </c>
      <c r="AA30" s="93">
        <f t="shared" si="3"/>
        <v>0</v>
      </c>
      <c r="AB30" s="93">
        <f t="shared" si="3"/>
        <v>0</v>
      </c>
      <c r="AC30" s="93">
        <f t="shared" si="3"/>
        <v>0</v>
      </c>
      <c r="AD30" s="90">
        <f t="shared" si="3"/>
        <v>0</v>
      </c>
      <c r="AE30" s="90">
        <f t="shared" si="3"/>
        <v>0</v>
      </c>
      <c r="AF30" s="90">
        <f t="shared" si="3"/>
        <v>0</v>
      </c>
      <c r="AG30" s="93">
        <f t="shared" si="3"/>
        <v>0</v>
      </c>
      <c r="AH30" s="93">
        <f t="shared" si="3"/>
        <v>0</v>
      </c>
      <c r="AI30" s="93">
        <f t="shared" si="3"/>
        <v>0</v>
      </c>
      <c r="AJ30" s="93">
        <f t="shared" si="3"/>
        <v>0</v>
      </c>
      <c r="AK30" s="93">
        <f t="shared" si="3"/>
        <v>0</v>
      </c>
      <c r="AL30" s="91">
        <f>SUM(AL24:AL29)</f>
        <v>0</v>
      </c>
      <c r="AM30" s="38"/>
      <c r="AN30" s="38"/>
      <c r="AO30" s="38"/>
      <c r="AP30" s="23"/>
      <c r="AQ30" s="23"/>
      <c r="AR30" s="23"/>
      <c r="AS30"/>
      <c r="AT30"/>
      <c r="AU30"/>
      <c r="AV30"/>
      <c r="AW30"/>
      <c r="AX30"/>
      <c r="AY30"/>
      <c r="AZ30"/>
      <c r="BA30"/>
    </row>
    <row r="31" spans="1:53">
      <c r="A31" s="44" t="s">
        <v>29</v>
      </c>
      <c r="B31" s="45"/>
      <c r="C31" s="45"/>
      <c r="D31" s="45"/>
      <c r="E31" s="45"/>
      <c r="F31" s="46"/>
      <c r="G31" s="85" t="str">
        <f>IF(COUNTIFS('TIME REPORT'!$A$6:$A$37,G$4,'TIME REPORT'!$Q$6:$Q$37,"O.T.")=0,"",IF(OR(WEEKDAY(DATE(HOLIDAYS!$E$3,HOLIDAYS!$E$2,G$4),2)&gt;=6,COUNTIF(HOLIDAYS!$A$5:$A$199,DATE(HOLIDAYS!$E$3,HOLIDAYS!$E$2,G$4))&gt;0),SUMIFS('TIME REPORT'!$N$6:$N$37,'TIME REPORT'!$A$6:$A$37,G$4)+SUMIFS('TIME REPORT'!$P$6:$P$37,'TIME REPORT'!$A$6:$A$37,G$4)/60,MAX(0,SUMIFS('TIME REPORT'!$N$6:$N$37,'TIME REPORT'!$A$6:$A$37,G$4)+SUMIFS('TIME REPORT'!$P$6:$P$37,'TIME REPORT'!$A$6:$A$37,G$4)/60-$AO$1)))</f>
        <v/>
      </c>
      <c r="H31" s="85" t="str">
        <f>IF(COUNTIFS('TIME REPORT'!$A$6:$A$37,H$4,'TIME REPORT'!$Q$6:$Q$37,"O.T.")=0,"",IF(OR(WEEKDAY(DATE(HOLIDAYS!$E$3,HOLIDAYS!$E$2,H$4),2)&gt;=6,COUNTIF(HOLIDAYS!$A$5:$A$199,DATE(HOLIDAYS!$E$3,HOLIDAYS!$E$2,H$4))&gt;0),SUMIFS('TIME REPORT'!$N$6:$N$37,'TIME REPORT'!$A$6:$A$37,H$4)+SUMIFS('TIME REPORT'!$P$6:$P$37,'TIME REPORT'!$A$6:$A$37,H$4)/60,MAX(0,SUMIFS('TIME REPORT'!$N$6:$N$37,'TIME REPORT'!$A$6:$A$37,H$4)+SUMIFS('TIME REPORT'!$P$6:$P$37,'TIME REPORT'!$A$6:$A$37,H$4)/60-$AO$1)))</f>
        <v/>
      </c>
      <c r="I31" s="85" t="str">
        <f>IF(COUNTIFS('TIME REPORT'!$A$6:$A$37,I$4,'TIME REPORT'!$Q$6:$Q$37,"O.T.")=0,"",IF(OR(WEEKDAY(DATE(HOLIDAYS!$E$3,HOLIDAYS!$E$2,I$4),2)&gt;=6,COUNTIF(HOLIDAYS!$A$5:$A$199,DATE(HOLIDAYS!$E$3,HOLIDAYS!$E$2,I$4))&gt;0),SUMIFS('TIME REPORT'!$N$6:$N$37,'TIME REPORT'!$A$6:$A$37,I$4)+SUMIFS('TIME REPORT'!$P$6:$P$37,'TIME REPORT'!$A$6:$A$37,I$4)/60,MAX(0,SUMIFS('TIME REPORT'!$N$6:$N$37,'TIME REPORT'!$A$6:$A$37,I$4)+SUMIFS('TIME REPORT'!$P$6:$P$37,'TIME REPORT'!$A$6:$A$37,I$4)/60-$AO$1)))</f>
        <v/>
      </c>
      <c r="J31" s="85" t="str">
        <f>IF(COUNTIFS('TIME REPORT'!$A$6:$A$37,J$4,'TIME REPORT'!$Q$6:$Q$37,"O.T.")=0,"",IF(OR(WEEKDAY(DATE(HOLIDAYS!$E$3,HOLIDAYS!$E$2,J$4),2)&gt;=6,COUNTIF(HOLIDAYS!$A$5:$A$199,DATE(HOLIDAYS!$E$3,HOLIDAYS!$E$2,J$4))&gt;0),SUMIFS('TIME REPORT'!$N$6:$N$37,'TIME REPORT'!$A$6:$A$37,J$4)+SUMIFS('TIME REPORT'!$P$6:$P$37,'TIME REPORT'!$A$6:$A$37,J$4)/60,MAX(0,SUMIFS('TIME REPORT'!$N$6:$N$37,'TIME REPORT'!$A$6:$A$37,J$4)+SUMIFS('TIME REPORT'!$P$6:$P$37,'TIME REPORT'!$A$6:$A$37,J$4)/60-$AO$1)))</f>
        <v/>
      </c>
      <c r="K31" s="85" t="str">
        <f>IF(COUNTIFS('TIME REPORT'!$A$6:$A$37,K$4,'TIME REPORT'!$Q$6:$Q$37,"O.T.")=0,"",IF(OR(WEEKDAY(DATE(HOLIDAYS!$E$3,HOLIDAYS!$E$2,K$4),2)&gt;=6,COUNTIF(HOLIDAYS!$A$5:$A$199,DATE(HOLIDAYS!$E$3,HOLIDAYS!$E$2,K$4))&gt;0),SUMIFS('TIME REPORT'!$N$6:$N$37,'TIME REPORT'!$A$6:$A$37,K$4)+SUMIFS('TIME REPORT'!$P$6:$P$37,'TIME REPORT'!$A$6:$A$37,K$4)/60,MAX(0,SUMIFS('TIME REPORT'!$N$6:$N$37,'TIME REPORT'!$A$6:$A$37,K$4)+SUMIFS('TIME REPORT'!$P$6:$P$37,'TIME REPORT'!$A$6:$A$37,K$4)/60-$AO$1)))</f>
        <v/>
      </c>
      <c r="L31" s="85" t="str">
        <f>IF(COUNTIFS('TIME REPORT'!$A$6:$A$37,L$4,'TIME REPORT'!$Q$6:$Q$37,"O.T.")=0,"",IF(OR(WEEKDAY(DATE(HOLIDAYS!$E$3,HOLIDAYS!$E$2,L$4),2)&gt;=6,COUNTIF(HOLIDAYS!$A$5:$A$199,DATE(HOLIDAYS!$E$3,HOLIDAYS!$E$2,L$4))&gt;0),SUMIFS('TIME REPORT'!$N$6:$N$37,'TIME REPORT'!$A$6:$A$37,L$4)+SUMIFS('TIME REPORT'!$P$6:$P$37,'TIME REPORT'!$A$6:$A$37,L$4)/60,MAX(0,SUMIFS('TIME REPORT'!$N$6:$N$37,'TIME REPORT'!$A$6:$A$37,L$4)+SUMIFS('TIME REPORT'!$P$6:$P$37,'TIME REPORT'!$A$6:$A$37,L$4)/60-$AO$1)))</f>
        <v/>
      </c>
      <c r="M31" s="85" t="str">
        <f>IF(COUNTIFS('TIME REPORT'!$A$6:$A$37,M$4,'TIME REPORT'!$Q$6:$Q$37,"O.T.")=0,"",IF(OR(WEEKDAY(DATE(HOLIDAYS!$E$3,HOLIDAYS!$E$2,M$4),2)&gt;=6,COUNTIF(HOLIDAYS!$A$5:$A$199,DATE(HOLIDAYS!$E$3,HOLIDAYS!$E$2,M$4))&gt;0),SUMIFS('TIME REPORT'!$N$6:$N$37,'TIME REPORT'!$A$6:$A$37,M$4)+SUMIFS('TIME REPORT'!$P$6:$P$37,'TIME REPORT'!$A$6:$A$37,M$4)/60,MAX(0,SUMIFS('TIME REPORT'!$N$6:$N$37,'TIME REPORT'!$A$6:$A$37,M$4)+SUMIFS('TIME REPORT'!$P$6:$P$37,'TIME REPORT'!$A$6:$A$37,M$4)/60-$AO$1)))</f>
        <v/>
      </c>
      <c r="N31" s="85" t="str">
        <f>IF(COUNTIFS('TIME REPORT'!$A$6:$A$37,N$4,'TIME REPORT'!$Q$6:$Q$37,"O.T.")=0,"",IF(OR(WEEKDAY(DATE(HOLIDAYS!$E$3,HOLIDAYS!$E$2,N$4),2)&gt;=6,COUNTIF(HOLIDAYS!$A$5:$A$199,DATE(HOLIDAYS!$E$3,HOLIDAYS!$E$2,N$4))&gt;0),SUMIFS('TIME REPORT'!$N$6:$N$37,'TIME REPORT'!$A$6:$A$37,N$4)+SUMIFS('TIME REPORT'!$P$6:$P$37,'TIME REPORT'!$A$6:$A$37,N$4)/60,MAX(0,SUMIFS('TIME REPORT'!$N$6:$N$37,'TIME REPORT'!$A$6:$A$37,N$4)+SUMIFS('TIME REPORT'!$P$6:$P$37,'TIME REPORT'!$A$6:$A$37,N$4)/60-$AO$1)))</f>
        <v/>
      </c>
      <c r="O31" s="85" t="str">
        <f>IF(COUNTIFS('TIME REPORT'!$A$6:$A$37,O$4,'TIME REPORT'!$Q$6:$Q$37,"O.T.")=0,"",IF(OR(WEEKDAY(DATE(HOLIDAYS!$E$3,HOLIDAYS!$E$2,O$4),2)&gt;=6,COUNTIF(HOLIDAYS!$A$5:$A$199,DATE(HOLIDAYS!$E$3,HOLIDAYS!$E$2,O$4))&gt;0),SUMIFS('TIME REPORT'!$N$6:$N$37,'TIME REPORT'!$A$6:$A$37,O$4)+SUMIFS('TIME REPORT'!$P$6:$P$37,'TIME REPORT'!$A$6:$A$37,O$4)/60,MAX(0,SUMIFS('TIME REPORT'!$N$6:$N$37,'TIME REPORT'!$A$6:$A$37,O$4)+SUMIFS('TIME REPORT'!$P$6:$P$37,'TIME REPORT'!$A$6:$A$37,O$4)/60-$AO$1)))</f>
        <v/>
      </c>
      <c r="P31" s="85" t="str">
        <f>IF(COUNTIFS('TIME REPORT'!$A$6:$A$37,P$4,'TIME REPORT'!$Q$6:$Q$37,"O.T.")=0,"",IF(OR(WEEKDAY(DATE(HOLIDAYS!$E$3,HOLIDAYS!$E$2,P$4),2)&gt;=6,COUNTIF(HOLIDAYS!$A$5:$A$199,DATE(HOLIDAYS!$E$3,HOLIDAYS!$E$2,P$4))&gt;0),SUMIFS('TIME REPORT'!$N$6:$N$37,'TIME REPORT'!$A$6:$A$37,P$4)+SUMIFS('TIME REPORT'!$P$6:$P$37,'TIME REPORT'!$A$6:$A$37,P$4)/60,MAX(0,SUMIFS('TIME REPORT'!$N$6:$N$37,'TIME REPORT'!$A$6:$A$37,P$4)+SUMIFS('TIME REPORT'!$P$6:$P$37,'TIME REPORT'!$A$6:$A$37,P$4)/60-$AO$1)))</f>
        <v/>
      </c>
      <c r="Q31" s="85" t="str">
        <f>IF(COUNTIFS('TIME REPORT'!$A$6:$A$37,Q$4,'TIME REPORT'!$Q$6:$Q$37,"O.T.")=0,"",IF(OR(WEEKDAY(DATE(HOLIDAYS!$E$3,HOLIDAYS!$E$2,Q$4),2)&gt;=6,COUNTIF(HOLIDAYS!$A$5:$A$199,DATE(HOLIDAYS!$E$3,HOLIDAYS!$E$2,Q$4))&gt;0),SUMIFS('TIME REPORT'!$N$6:$N$37,'TIME REPORT'!$A$6:$A$37,Q$4)+SUMIFS('TIME REPORT'!$P$6:$P$37,'TIME REPORT'!$A$6:$A$37,Q$4)/60,MAX(0,SUMIFS('TIME REPORT'!$N$6:$N$37,'TIME REPORT'!$A$6:$A$37,Q$4)+SUMIFS('TIME REPORT'!$P$6:$P$37,'TIME REPORT'!$A$6:$A$37,Q$4)/60-$AO$1)))</f>
        <v/>
      </c>
      <c r="R31" s="85" t="str">
        <f>IF(COUNTIFS('TIME REPORT'!$A$6:$A$37,R$4,'TIME REPORT'!$Q$6:$Q$37,"O.T.")=0,"",IF(OR(WEEKDAY(DATE(HOLIDAYS!$E$3,HOLIDAYS!$E$2,R$4),2)&gt;=6,COUNTIF(HOLIDAYS!$A$5:$A$199,DATE(HOLIDAYS!$E$3,HOLIDAYS!$E$2,R$4))&gt;0),SUMIFS('TIME REPORT'!$N$6:$N$37,'TIME REPORT'!$A$6:$A$37,R$4)+SUMIFS('TIME REPORT'!$P$6:$P$37,'TIME REPORT'!$A$6:$A$37,R$4)/60,MAX(0,SUMIFS('TIME REPORT'!$N$6:$N$37,'TIME REPORT'!$A$6:$A$37,R$4)+SUMIFS('TIME REPORT'!$P$6:$P$37,'TIME REPORT'!$A$6:$A$37,R$4)/60-$AO$1)))</f>
        <v/>
      </c>
      <c r="S31" s="85" t="str">
        <f>IF(COUNTIFS('TIME REPORT'!$A$6:$A$37,S$4,'TIME REPORT'!$Q$6:$Q$37,"O.T.")=0,"",IF(OR(WEEKDAY(DATE(HOLIDAYS!$E$3,HOLIDAYS!$E$2,S$4),2)&gt;=6,COUNTIF(HOLIDAYS!$A$5:$A$199,DATE(HOLIDAYS!$E$3,HOLIDAYS!$E$2,S$4))&gt;0),SUMIFS('TIME REPORT'!$N$6:$N$37,'TIME REPORT'!$A$6:$A$37,S$4)+SUMIFS('TIME REPORT'!$P$6:$P$37,'TIME REPORT'!$A$6:$A$37,S$4)/60,MAX(0,SUMIFS('TIME REPORT'!$N$6:$N$37,'TIME REPORT'!$A$6:$A$37,S$4)+SUMIFS('TIME REPORT'!$P$6:$P$37,'TIME REPORT'!$A$6:$A$37,S$4)/60-$AO$1)))</f>
        <v/>
      </c>
      <c r="T31" s="85" t="str">
        <f>IF(COUNTIFS('TIME REPORT'!$A$6:$A$37,T$4,'TIME REPORT'!$Q$6:$Q$37,"O.T.")=0,"",IF(OR(WEEKDAY(DATE(HOLIDAYS!$E$3,HOLIDAYS!$E$2,T$4),2)&gt;=6,COUNTIF(HOLIDAYS!$A$5:$A$199,DATE(HOLIDAYS!$E$3,HOLIDAYS!$E$2,T$4))&gt;0),SUMIFS('TIME REPORT'!$N$6:$N$37,'TIME REPORT'!$A$6:$A$37,T$4)+SUMIFS('TIME REPORT'!$P$6:$P$37,'TIME REPORT'!$A$6:$A$37,T$4)/60,MAX(0,SUMIFS('TIME REPORT'!$N$6:$N$37,'TIME REPORT'!$A$6:$A$37,T$4)+SUMIFS('TIME REPORT'!$P$6:$P$37,'TIME REPORT'!$A$6:$A$37,T$4)/60-$AO$1)))</f>
        <v/>
      </c>
      <c r="U31" s="85" t="str">
        <f>IF(COUNTIFS('TIME REPORT'!$A$6:$A$37,U$4,'TIME REPORT'!$Q$6:$Q$37,"O.T.")=0,"",IF(OR(WEEKDAY(DATE(HOLIDAYS!$E$3,HOLIDAYS!$E$2,U$4),2)&gt;=6,COUNTIF(HOLIDAYS!$A$5:$A$199,DATE(HOLIDAYS!$E$3,HOLIDAYS!$E$2,U$4))&gt;0),SUMIFS('TIME REPORT'!$N$6:$N$37,'TIME REPORT'!$A$6:$A$37,U$4)+SUMIFS('TIME REPORT'!$P$6:$P$37,'TIME REPORT'!$A$6:$A$37,U$4)/60,MAX(0,SUMIFS('TIME REPORT'!$N$6:$N$37,'TIME REPORT'!$A$6:$A$37,U$4)+SUMIFS('TIME REPORT'!$P$6:$P$37,'TIME REPORT'!$A$6:$A$37,U$4)/60-$AO$1)))</f>
        <v/>
      </c>
      <c r="V31" s="85" t="str">
        <f>IF(COUNTIFS('TIME REPORT'!$A$6:$A$37,V$4,'TIME REPORT'!$Q$6:$Q$37,"O.T.")=0,"",IF(OR(WEEKDAY(DATE(HOLIDAYS!$E$3,HOLIDAYS!$E$2,V$4),2)&gt;=6,COUNTIF(HOLIDAYS!$A$5:$A$199,DATE(HOLIDAYS!$E$3,HOLIDAYS!$E$2,V$4))&gt;0),SUMIFS('TIME REPORT'!$N$6:$N$37,'TIME REPORT'!$A$6:$A$37,V$4)+SUMIFS('TIME REPORT'!$P$6:$P$37,'TIME REPORT'!$A$6:$A$37,V$4)/60,MAX(0,SUMIFS('TIME REPORT'!$N$6:$N$37,'TIME REPORT'!$A$6:$A$37,V$4)+SUMIFS('TIME REPORT'!$P$6:$P$37,'TIME REPORT'!$A$6:$A$37,V$4)/60-$AO$1)))</f>
        <v/>
      </c>
      <c r="W31" s="85" t="str">
        <f>IF(COUNTIFS('TIME REPORT'!$A$6:$A$37,W$4,'TIME REPORT'!$Q$6:$Q$37,"O.T.")=0,"",IF(OR(WEEKDAY(DATE(HOLIDAYS!$E$3,HOLIDAYS!$E$2,W$4),2)&gt;=6,COUNTIF(HOLIDAYS!$A$5:$A$199,DATE(HOLIDAYS!$E$3,HOLIDAYS!$E$2,W$4))&gt;0),SUMIFS('TIME REPORT'!$N$6:$N$37,'TIME REPORT'!$A$6:$A$37,W$4)+SUMIFS('TIME REPORT'!$P$6:$P$37,'TIME REPORT'!$A$6:$A$37,W$4)/60,MAX(0,SUMIFS('TIME REPORT'!$N$6:$N$37,'TIME REPORT'!$A$6:$A$37,W$4)+SUMIFS('TIME REPORT'!$P$6:$P$37,'TIME REPORT'!$A$6:$A$37,W$4)/60-$AO$1)))</f>
        <v/>
      </c>
      <c r="X31" s="85" t="str">
        <f>IF(COUNTIFS('TIME REPORT'!$A$6:$A$37,X$4,'TIME REPORT'!$Q$6:$Q$37,"O.T.")=0,"",IF(OR(WEEKDAY(DATE(HOLIDAYS!$E$3,HOLIDAYS!$E$2,X$4),2)&gt;=6,COUNTIF(HOLIDAYS!$A$5:$A$199,DATE(HOLIDAYS!$E$3,HOLIDAYS!$E$2,X$4))&gt;0),SUMIFS('TIME REPORT'!$N$6:$N$37,'TIME REPORT'!$A$6:$A$37,X$4)+SUMIFS('TIME REPORT'!$P$6:$P$37,'TIME REPORT'!$A$6:$A$37,X$4)/60,MAX(0,SUMIFS('TIME REPORT'!$N$6:$N$37,'TIME REPORT'!$A$6:$A$37,X$4)+SUMIFS('TIME REPORT'!$P$6:$P$37,'TIME REPORT'!$A$6:$A$37,X$4)/60-$AO$1)))</f>
        <v/>
      </c>
      <c r="Y31" s="85" t="str">
        <f>IF(COUNTIFS('TIME REPORT'!$A$6:$A$37,Y$4,'TIME REPORT'!$Q$6:$Q$37,"O.T.")=0,"",IF(OR(WEEKDAY(DATE(HOLIDAYS!$E$3,HOLIDAYS!$E$2,Y$4),2)&gt;=6,COUNTIF(HOLIDAYS!$A$5:$A$199,DATE(HOLIDAYS!$E$3,HOLIDAYS!$E$2,Y$4))&gt;0),SUMIFS('TIME REPORT'!$N$6:$N$37,'TIME REPORT'!$A$6:$A$37,Y$4)+SUMIFS('TIME REPORT'!$P$6:$P$37,'TIME REPORT'!$A$6:$A$37,Y$4)/60,MAX(0,SUMIFS('TIME REPORT'!$N$6:$N$37,'TIME REPORT'!$A$6:$A$37,Y$4)+SUMIFS('TIME REPORT'!$P$6:$P$37,'TIME REPORT'!$A$6:$A$37,Y$4)/60-$AO$1)))</f>
        <v/>
      </c>
      <c r="Z31" s="85" t="str">
        <f>IF(COUNTIFS('TIME REPORT'!$A$6:$A$37,Z$4,'TIME REPORT'!$Q$6:$Q$37,"O.T.")=0,"",IF(OR(WEEKDAY(DATE(HOLIDAYS!$E$3,HOLIDAYS!$E$2,Z$4),2)&gt;=6,COUNTIF(HOLIDAYS!$A$5:$A$199,DATE(HOLIDAYS!$E$3,HOLIDAYS!$E$2,Z$4))&gt;0),SUMIFS('TIME REPORT'!$N$6:$N$37,'TIME REPORT'!$A$6:$A$37,Z$4)+SUMIFS('TIME REPORT'!$P$6:$P$37,'TIME REPORT'!$A$6:$A$37,Z$4)/60,MAX(0,SUMIFS('TIME REPORT'!$N$6:$N$37,'TIME REPORT'!$A$6:$A$37,Z$4)+SUMIFS('TIME REPORT'!$P$6:$P$37,'TIME REPORT'!$A$6:$A$37,Z$4)/60-$AO$1)))</f>
        <v/>
      </c>
      <c r="AA31" s="85" t="str">
        <f>IF(COUNTIFS('TIME REPORT'!$A$6:$A$37,AA$4,'TIME REPORT'!$Q$6:$Q$37,"O.T.")=0,"",IF(OR(WEEKDAY(DATE(HOLIDAYS!$E$3,HOLIDAYS!$E$2,AA$4),2)&gt;=6,COUNTIF(HOLIDAYS!$A$5:$A$199,DATE(HOLIDAYS!$E$3,HOLIDAYS!$E$2,AA$4))&gt;0),SUMIFS('TIME REPORT'!$N$6:$N$37,'TIME REPORT'!$A$6:$A$37,AA$4)+SUMIFS('TIME REPORT'!$P$6:$P$37,'TIME REPORT'!$A$6:$A$37,AA$4)/60,MAX(0,SUMIFS('TIME REPORT'!$N$6:$N$37,'TIME REPORT'!$A$6:$A$37,AA$4)+SUMIFS('TIME REPORT'!$P$6:$P$37,'TIME REPORT'!$A$6:$A$37,AA$4)/60-$AO$1)))</f>
        <v/>
      </c>
      <c r="AB31" s="85" t="str">
        <f>IF(COUNTIFS('TIME REPORT'!$A$6:$A$37,AB$4,'TIME REPORT'!$Q$6:$Q$37,"O.T.")=0,"",IF(OR(WEEKDAY(DATE(HOLIDAYS!$E$3,HOLIDAYS!$E$2,AB$4),2)&gt;=6,COUNTIF(HOLIDAYS!$A$5:$A$199,DATE(HOLIDAYS!$E$3,HOLIDAYS!$E$2,AB$4))&gt;0),SUMIFS('TIME REPORT'!$N$6:$N$37,'TIME REPORT'!$A$6:$A$37,AB$4)+SUMIFS('TIME REPORT'!$P$6:$P$37,'TIME REPORT'!$A$6:$A$37,AB$4)/60,MAX(0,SUMIFS('TIME REPORT'!$N$6:$N$37,'TIME REPORT'!$A$6:$A$37,AB$4)+SUMIFS('TIME REPORT'!$P$6:$P$37,'TIME REPORT'!$A$6:$A$37,AB$4)/60-$AO$1)))</f>
        <v/>
      </c>
      <c r="AC31" s="85" t="str">
        <f>IF(COUNTIFS('TIME REPORT'!$A$6:$A$37,AC$4,'TIME REPORT'!$Q$6:$Q$37,"O.T.")=0,"",IF(OR(WEEKDAY(DATE(HOLIDAYS!$E$3,HOLIDAYS!$E$2,AC$4),2)&gt;=6,COUNTIF(HOLIDAYS!$A$5:$A$199,DATE(HOLIDAYS!$E$3,HOLIDAYS!$E$2,AC$4))&gt;0),SUMIFS('TIME REPORT'!$N$6:$N$37,'TIME REPORT'!$A$6:$A$37,AC$4)+SUMIFS('TIME REPORT'!$P$6:$P$37,'TIME REPORT'!$A$6:$A$37,AC$4)/60,MAX(0,SUMIFS('TIME REPORT'!$N$6:$N$37,'TIME REPORT'!$A$6:$A$37,AC$4)+SUMIFS('TIME REPORT'!$P$6:$P$37,'TIME REPORT'!$A$6:$A$37,AC$4)/60-$AO$1)))</f>
        <v/>
      </c>
      <c r="AD31" s="85" t="str">
        <f>IF(COUNTIFS('TIME REPORT'!$A$6:$A$37,AD$4,'TIME REPORT'!$Q$6:$Q$37,"O.T.")=0,"",IF(OR(WEEKDAY(DATE(HOLIDAYS!$E$3,HOLIDAYS!$E$2,AD$4),2)&gt;=6,COUNTIF(HOLIDAYS!$A$5:$A$199,DATE(HOLIDAYS!$E$3,HOLIDAYS!$E$2,AD$4))&gt;0),SUMIFS('TIME REPORT'!$N$6:$N$37,'TIME REPORT'!$A$6:$A$37,AD$4)+SUMIFS('TIME REPORT'!$P$6:$P$37,'TIME REPORT'!$A$6:$A$37,AD$4)/60,MAX(0,SUMIFS('TIME REPORT'!$N$6:$N$37,'TIME REPORT'!$A$6:$A$37,AD$4)+SUMIFS('TIME REPORT'!$P$6:$P$37,'TIME REPORT'!$A$6:$A$37,AD$4)/60-$AO$1)))</f>
        <v/>
      </c>
      <c r="AE31" s="85" t="str">
        <f>IF(COUNTIFS('TIME REPORT'!$A$6:$A$37,AE$4,'TIME REPORT'!$Q$6:$Q$37,"O.T.")=0,"",IF(OR(WEEKDAY(DATE(HOLIDAYS!$E$3,HOLIDAYS!$E$2,AE$4),2)&gt;=6,COUNTIF(HOLIDAYS!$A$5:$A$199,DATE(HOLIDAYS!$E$3,HOLIDAYS!$E$2,AE$4))&gt;0),SUMIFS('TIME REPORT'!$N$6:$N$37,'TIME REPORT'!$A$6:$A$37,AE$4)+SUMIFS('TIME REPORT'!$P$6:$P$37,'TIME REPORT'!$A$6:$A$37,AE$4)/60,MAX(0,SUMIFS('TIME REPORT'!$N$6:$N$37,'TIME REPORT'!$A$6:$A$37,AE$4)+SUMIFS('TIME REPORT'!$P$6:$P$37,'TIME REPORT'!$A$6:$A$37,AE$4)/60-$AO$1)))</f>
        <v/>
      </c>
      <c r="AF31" s="85" t="str">
        <f>IF(COUNTIFS('TIME REPORT'!$A$6:$A$37,AF$4,'TIME REPORT'!$Q$6:$Q$37,"O.T.")=0,"",IF(OR(WEEKDAY(DATE(HOLIDAYS!$E$3,HOLIDAYS!$E$2,AF$4),2)&gt;=6,COUNTIF(HOLIDAYS!$A$5:$A$199,DATE(HOLIDAYS!$E$3,HOLIDAYS!$E$2,AF$4))&gt;0),SUMIFS('TIME REPORT'!$N$6:$N$37,'TIME REPORT'!$A$6:$A$37,AF$4)+SUMIFS('TIME REPORT'!$P$6:$P$37,'TIME REPORT'!$A$6:$A$37,AF$4)/60,MAX(0,SUMIFS('TIME REPORT'!$N$6:$N$37,'TIME REPORT'!$A$6:$A$37,AF$4)+SUMIFS('TIME REPORT'!$P$6:$P$37,'TIME REPORT'!$A$6:$A$37,AF$4)/60-$AO$1)))</f>
        <v/>
      </c>
      <c r="AG31" s="85" t="str">
        <f>IF(COUNTIFS('TIME REPORT'!$A$6:$A$37,AG$4,'TIME REPORT'!$Q$6:$Q$37,"O.T.")=0,"",IF(OR(WEEKDAY(DATE(HOLIDAYS!$E$3,HOLIDAYS!$E$2,AG$4),2)&gt;=6,COUNTIF(HOLIDAYS!$A$5:$A$199,DATE(HOLIDAYS!$E$3,HOLIDAYS!$E$2,AG$4))&gt;0),SUMIFS('TIME REPORT'!$N$6:$N$37,'TIME REPORT'!$A$6:$A$37,AG$4)+SUMIFS('TIME REPORT'!$P$6:$P$37,'TIME REPORT'!$A$6:$A$37,AG$4)/60,MAX(0,SUMIFS('TIME REPORT'!$N$6:$N$37,'TIME REPORT'!$A$6:$A$37,AG$4)+SUMIFS('TIME REPORT'!$P$6:$P$37,'TIME REPORT'!$A$6:$A$37,AG$4)/60-$AO$1)))</f>
        <v/>
      </c>
      <c r="AH31" s="85" t="str">
        <f>IF(COUNTIFS('TIME REPORT'!$A$6:$A$37,AH$4,'TIME REPORT'!$Q$6:$Q$37,"O.T.")=0,"",IF(OR(WEEKDAY(DATE(HOLIDAYS!$E$3,HOLIDAYS!$E$2,AH$4),2)&gt;=6,COUNTIF(HOLIDAYS!$A$5:$A$199,DATE(HOLIDAYS!$E$3,HOLIDAYS!$E$2,AH$4))&gt;0),SUMIFS('TIME REPORT'!$N$6:$N$37,'TIME REPORT'!$A$6:$A$37,AH$4)+SUMIFS('TIME REPORT'!$P$6:$P$37,'TIME REPORT'!$A$6:$A$37,AH$4)/60,MAX(0,SUMIFS('TIME REPORT'!$N$6:$N$37,'TIME REPORT'!$A$6:$A$37,AH$4)+SUMIFS('TIME REPORT'!$P$6:$P$37,'TIME REPORT'!$A$6:$A$37,AH$4)/60-$AO$1)))</f>
        <v/>
      </c>
      <c r="AI31" s="85" t="str">
        <f>IF(COUNTIFS('TIME REPORT'!$A$6:$A$37,AI$4,'TIME REPORT'!$Q$6:$Q$37,"O.T.")=0,"",IF(OR(WEEKDAY(DATE(HOLIDAYS!$E$3,HOLIDAYS!$E$2,AI$4),2)&gt;=6,COUNTIF(HOLIDAYS!$A$5:$A$199,DATE(HOLIDAYS!$E$3,HOLIDAYS!$E$2,AI$4))&gt;0),SUMIFS('TIME REPORT'!$N$6:$N$37,'TIME REPORT'!$A$6:$A$37,AI$4)+SUMIFS('TIME REPORT'!$P$6:$P$37,'TIME REPORT'!$A$6:$A$37,AI$4)/60,MAX(0,SUMIFS('TIME REPORT'!$N$6:$N$37,'TIME REPORT'!$A$6:$A$37,AI$4)+SUMIFS('TIME REPORT'!$P$6:$P$37,'TIME REPORT'!$A$6:$A$37,AI$4)/60-$AO$1)))</f>
        <v/>
      </c>
      <c r="AJ31" s="85" t="str">
        <f>IF(COUNTIFS('TIME REPORT'!$A$6:$A$37,AJ$4,'TIME REPORT'!$Q$6:$Q$37,"O.T.")=0,"",IF(OR(WEEKDAY(DATE(HOLIDAYS!$E$3,HOLIDAYS!$E$2,AJ$4),2)&gt;=6,COUNTIF(HOLIDAYS!$A$5:$A$199,DATE(HOLIDAYS!$E$3,HOLIDAYS!$E$2,AJ$4))&gt;0),SUMIFS('TIME REPORT'!$N$6:$N$37,'TIME REPORT'!$A$6:$A$37,AJ$4)+SUMIFS('TIME REPORT'!$P$6:$P$37,'TIME REPORT'!$A$6:$A$37,AJ$4)/60,MAX(0,SUMIFS('TIME REPORT'!$N$6:$N$37,'TIME REPORT'!$A$6:$A$37,AJ$4)+SUMIFS('TIME REPORT'!$P$6:$P$37,'TIME REPORT'!$A$6:$A$37,AJ$4)/60-$AO$1)))</f>
        <v/>
      </c>
      <c r="AK31" s="85" t="str">
        <f>IF(COUNTIFS('TIME REPORT'!$A$6:$A$37,AK$4,'TIME REPORT'!$Q$6:$Q$37,"O.T.")=0,"",IF(OR(WEEKDAY(DATE(HOLIDAYS!$E$3,HOLIDAYS!$E$2,AK$4),2)&gt;=6,COUNTIF(HOLIDAYS!$A$5:$A$199,DATE(HOLIDAYS!$E$3,HOLIDAYS!$E$2,AK$4))&gt;0),SUMIFS('TIME REPORT'!$N$6:$N$37,'TIME REPORT'!$A$6:$A$37,AK$4)+SUMIFS('TIME REPORT'!$P$6:$P$37,'TIME REPORT'!$A$6:$A$37,AK$4)/60,MAX(0,SUMIFS('TIME REPORT'!$N$6:$N$37,'TIME REPORT'!$A$6:$A$37,AK$4)+SUMIFS('TIME REPORT'!$P$6:$P$37,'TIME REPORT'!$A$6:$A$37,AK$4)/60-$AO$1)))</f>
        <v/>
      </c>
      <c r="AL31" s="86">
        <f>SUM(G31:AK31)</f>
        <v>0</v>
      </c>
      <c r="AM31" s="38"/>
      <c r="AN31" s="38"/>
      <c r="AO31" s="38"/>
      <c r="AP31" s="23"/>
      <c r="AQ31" s="23"/>
      <c r="AR31" s="23"/>
      <c r="AS31"/>
      <c r="AT31"/>
      <c r="AU31"/>
      <c r="AV31"/>
      <c r="AW31"/>
      <c r="AX31"/>
      <c r="AY31"/>
      <c r="AZ31"/>
      <c r="BA31"/>
    </row>
    <row r="32" spans="1:53" ht="29.4" thickBot="1">
      <c r="A32" s="52" t="s">
        <v>30</v>
      </c>
      <c r="B32" s="53"/>
      <c r="C32" s="53"/>
      <c r="D32" s="53"/>
      <c r="E32" s="53"/>
      <c r="F32" s="54"/>
      <c r="G32" s="85" t="str">
        <f>IF(COUNTIFS('TIME REPORT'!$A$6:$A$37,G$4,'TIME REPORT'!$Q$6:$Q$37,"Extra Hours")=0,"",IF(OR(WEEKDAY(DATE(HOLIDAYS!$E$3,HOLIDAYS!$E$2,G$4),2)&gt;=6,COUNTIF(HOLIDAYS!$A$5:$A$199,DATE(HOLIDAYS!$E$3,HOLIDAYS!$E$2,G$4))&gt;0),SUMIFS('TIME REPORT'!$N$6:$N$37,'TIME REPORT'!$A$6:$A$37,G$4)+SUMIFS('TIME REPORT'!$P$6:$P$37,'TIME REPORT'!$A$6:$A$37,G$4)/60,MAX(0,SUMIFS('TIME REPORT'!$N$6:$N$37,'TIME REPORT'!$A$6:$A$37,G$4)+SUMIFS('TIME REPORT'!$P$6:$P$37,'TIME REPORT'!$A$6:$A$37,G$4)/60-$AO$1)))</f>
        <v/>
      </c>
      <c r="H32" s="85" t="str">
        <f>IF(COUNTIFS('TIME REPORT'!$A$6:$A$37,H$4,'TIME REPORT'!$Q$6:$Q$37,"Extra Hours")=0,"",IF(OR(WEEKDAY(DATE(HOLIDAYS!$E$3,HOLIDAYS!$E$2,H$4),2)&gt;=6,COUNTIF(HOLIDAYS!$A$5:$A$199,DATE(HOLIDAYS!$E$3,HOLIDAYS!$E$2,H$4))&gt;0),SUMIFS('TIME REPORT'!$N$6:$N$37,'TIME REPORT'!$A$6:$A$37,H$4)+SUMIFS('TIME REPORT'!$P$6:$P$37,'TIME REPORT'!$A$6:$A$37,H$4)/60,MAX(0,SUMIFS('TIME REPORT'!$N$6:$N$37,'TIME REPORT'!$A$6:$A$37,H$4)+SUMIFS('TIME REPORT'!$P$6:$P$37,'TIME REPORT'!$A$6:$A$37,H$4)/60-$AO$1)))</f>
        <v/>
      </c>
      <c r="I32" s="85" t="str">
        <f>IF(COUNTIFS('TIME REPORT'!$A$6:$A$37,I$4,'TIME REPORT'!$Q$6:$Q$37,"Extra Hours")=0,"",IF(OR(WEEKDAY(DATE(HOLIDAYS!$E$3,HOLIDAYS!$E$2,I$4),2)&gt;=6,COUNTIF(HOLIDAYS!$A$5:$A$199,DATE(HOLIDAYS!$E$3,HOLIDAYS!$E$2,I$4))&gt;0),SUMIFS('TIME REPORT'!$N$6:$N$37,'TIME REPORT'!$A$6:$A$37,I$4)+SUMIFS('TIME REPORT'!$P$6:$P$37,'TIME REPORT'!$A$6:$A$37,I$4)/60,MAX(0,SUMIFS('TIME REPORT'!$N$6:$N$37,'TIME REPORT'!$A$6:$A$37,I$4)+SUMIFS('TIME REPORT'!$P$6:$P$37,'TIME REPORT'!$A$6:$A$37,I$4)/60-$AO$1)))</f>
        <v/>
      </c>
      <c r="J32" s="85" t="str">
        <f>IF(COUNTIFS('TIME REPORT'!$A$6:$A$37,J$4,'TIME REPORT'!$Q$6:$Q$37,"Extra Hours")=0,"",IF(OR(WEEKDAY(DATE(HOLIDAYS!$E$3,HOLIDAYS!$E$2,J$4),2)&gt;=6,COUNTIF(HOLIDAYS!$A$5:$A$199,DATE(HOLIDAYS!$E$3,HOLIDAYS!$E$2,J$4))&gt;0),SUMIFS('TIME REPORT'!$N$6:$N$37,'TIME REPORT'!$A$6:$A$37,J$4)+SUMIFS('TIME REPORT'!$P$6:$P$37,'TIME REPORT'!$A$6:$A$37,J$4)/60,MAX(0,SUMIFS('TIME REPORT'!$N$6:$N$37,'TIME REPORT'!$A$6:$A$37,J$4)+SUMIFS('TIME REPORT'!$P$6:$P$37,'TIME REPORT'!$A$6:$A$37,J$4)/60-$AO$1)))</f>
        <v/>
      </c>
      <c r="K32" s="85" t="str">
        <f>IF(COUNTIFS('TIME REPORT'!$A$6:$A$37,K$4,'TIME REPORT'!$Q$6:$Q$37,"Extra Hours")=0,"",IF(OR(WEEKDAY(DATE(HOLIDAYS!$E$3,HOLIDAYS!$E$2,K$4),2)&gt;=6,COUNTIF(HOLIDAYS!$A$5:$A$199,DATE(HOLIDAYS!$E$3,HOLIDAYS!$E$2,K$4))&gt;0),SUMIFS('TIME REPORT'!$N$6:$N$37,'TIME REPORT'!$A$6:$A$37,K$4)+SUMIFS('TIME REPORT'!$P$6:$P$37,'TIME REPORT'!$A$6:$A$37,K$4)/60,MAX(0,SUMIFS('TIME REPORT'!$N$6:$N$37,'TIME REPORT'!$A$6:$A$37,K$4)+SUMIFS('TIME REPORT'!$P$6:$P$37,'TIME REPORT'!$A$6:$A$37,K$4)/60-$AO$1)))</f>
        <v/>
      </c>
      <c r="L32" s="85" t="str">
        <f>IF(COUNTIFS('TIME REPORT'!$A$6:$A$37,L$4,'TIME REPORT'!$Q$6:$Q$37,"Extra Hours")=0,"",IF(OR(WEEKDAY(DATE(HOLIDAYS!$E$3,HOLIDAYS!$E$2,L$4),2)&gt;=6,COUNTIF(HOLIDAYS!$A$5:$A$199,DATE(HOLIDAYS!$E$3,HOLIDAYS!$E$2,L$4))&gt;0),SUMIFS('TIME REPORT'!$N$6:$N$37,'TIME REPORT'!$A$6:$A$37,L$4)+SUMIFS('TIME REPORT'!$P$6:$P$37,'TIME REPORT'!$A$6:$A$37,L$4)/60,MAX(0,SUMIFS('TIME REPORT'!$N$6:$N$37,'TIME REPORT'!$A$6:$A$37,L$4)+SUMIFS('TIME REPORT'!$P$6:$P$37,'TIME REPORT'!$A$6:$A$37,L$4)/60-$AO$1)))</f>
        <v/>
      </c>
      <c r="M32" s="85" t="str">
        <f>IF(COUNTIFS('TIME REPORT'!$A$6:$A$37,M$4,'TIME REPORT'!$Q$6:$Q$37,"Extra Hours")=0,"",IF(OR(WEEKDAY(DATE(HOLIDAYS!$E$3,HOLIDAYS!$E$2,M$4),2)&gt;=6,COUNTIF(HOLIDAYS!$A$5:$A$199,DATE(HOLIDAYS!$E$3,HOLIDAYS!$E$2,M$4))&gt;0),SUMIFS('TIME REPORT'!$N$6:$N$37,'TIME REPORT'!$A$6:$A$37,M$4)+SUMIFS('TIME REPORT'!$P$6:$P$37,'TIME REPORT'!$A$6:$A$37,M$4)/60,MAX(0,SUMIFS('TIME REPORT'!$N$6:$N$37,'TIME REPORT'!$A$6:$A$37,M$4)+SUMIFS('TIME REPORT'!$P$6:$P$37,'TIME REPORT'!$A$6:$A$37,M$4)/60-$AO$1)))</f>
        <v/>
      </c>
      <c r="N32" s="85" t="str">
        <f>IF(COUNTIFS('TIME REPORT'!$A$6:$A$37,N$4,'TIME REPORT'!$Q$6:$Q$37,"Extra Hours")=0,"",IF(OR(WEEKDAY(DATE(HOLIDAYS!$E$3,HOLIDAYS!$E$2,N$4),2)&gt;=6,COUNTIF(HOLIDAYS!$A$5:$A$199,DATE(HOLIDAYS!$E$3,HOLIDAYS!$E$2,N$4))&gt;0),SUMIFS('TIME REPORT'!$N$6:$N$37,'TIME REPORT'!$A$6:$A$37,N$4)+SUMIFS('TIME REPORT'!$P$6:$P$37,'TIME REPORT'!$A$6:$A$37,N$4)/60,MAX(0,SUMIFS('TIME REPORT'!$N$6:$N$37,'TIME REPORT'!$A$6:$A$37,N$4)+SUMIFS('TIME REPORT'!$P$6:$P$37,'TIME REPORT'!$A$6:$A$37,N$4)/60-$AO$1)))</f>
        <v/>
      </c>
      <c r="O32" s="85" t="str">
        <f>IF(COUNTIFS('TIME REPORT'!$A$6:$A$37,O$4,'TIME REPORT'!$Q$6:$Q$37,"Extra Hours")=0,"",IF(OR(WEEKDAY(DATE(HOLIDAYS!$E$3,HOLIDAYS!$E$2,O$4),2)&gt;=6,COUNTIF(HOLIDAYS!$A$5:$A$199,DATE(HOLIDAYS!$E$3,HOLIDAYS!$E$2,O$4))&gt;0),SUMIFS('TIME REPORT'!$N$6:$N$37,'TIME REPORT'!$A$6:$A$37,O$4)+SUMIFS('TIME REPORT'!$P$6:$P$37,'TIME REPORT'!$A$6:$A$37,O$4)/60,MAX(0,SUMIFS('TIME REPORT'!$N$6:$N$37,'TIME REPORT'!$A$6:$A$37,O$4)+SUMIFS('TIME REPORT'!$P$6:$P$37,'TIME REPORT'!$A$6:$A$37,O$4)/60-$AO$1)))</f>
        <v/>
      </c>
      <c r="P32" s="85" t="str">
        <f>IF(COUNTIFS('TIME REPORT'!$A$6:$A$37,P$4,'TIME REPORT'!$Q$6:$Q$37,"Extra Hours")=0,"",IF(OR(WEEKDAY(DATE(HOLIDAYS!$E$3,HOLIDAYS!$E$2,P$4),2)&gt;=6,COUNTIF(HOLIDAYS!$A$5:$A$199,DATE(HOLIDAYS!$E$3,HOLIDAYS!$E$2,P$4))&gt;0),SUMIFS('TIME REPORT'!$N$6:$N$37,'TIME REPORT'!$A$6:$A$37,P$4)+SUMIFS('TIME REPORT'!$P$6:$P$37,'TIME REPORT'!$A$6:$A$37,P$4)/60,MAX(0,SUMIFS('TIME REPORT'!$N$6:$N$37,'TIME REPORT'!$A$6:$A$37,P$4)+SUMIFS('TIME REPORT'!$P$6:$P$37,'TIME REPORT'!$A$6:$A$37,P$4)/60-$AO$1)))</f>
        <v/>
      </c>
      <c r="Q32" s="85" t="str">
        <f>IF(COUNTIFS('TIME REPORT'!$A$6:$A$37,Q$4,'TIME REPORT'!$Q$6:$Q$37,"Extra Hours")=0,"",IF(OR(WEEKDAY(DATE(HOLIDAYS!$E$3,HOLIDAYS!$E$2,Q$4),2)&gt;=6,COUNTIF(HOLIDAYS!$A$5:$A$199,DATE(HOLIDAYS!$E$3,HOLIDAYS!$E$2,Q$4))&gt;0),SUMIFS('TIME REPORT'!$N$6:$N$37,'TIME REPORT'!$A$6:$A$37,Q$4)+SUMIFS('TIME REPORT'!$P$6:$P$37,'TIME REPORT'!$A$6:$A$37,Q$4)/60,MAX(0,SUMIFS('TIME REPORT'!$N$6:$N$37,'TIME REPORT'!$A$6:$A$37,Q$4)+SUMIFS('TIME REPORT'!$P$6:$P$37,'TIME REPORT'!$A$6:$A$37,Q$4)/60-$AO$1)))</f>
        <v/>
      </c>
      <c r="R32" s="85" t="str">
        <f>IF(COUNTIFS('TIME REPORT'!$A$6:$A$37,R$4,'TIME REPORT'!$Q$6:$Q$37,"Extra Hours")=0,"",IF(OR(WEEKDAY(DATE(HOLIDAYS!$E$3,HOLIDAYS!$E$2,R$4),2)&gt;=6,COUNTIF(HOLIDAYS!$A$5:$A$199,DATE(HOLIDAYS!$E$3,HOLIDAYS!$E$2,R$4))&gt;0),SUMIFS('TIME REPORT'!$N$6:$N$37,'TIME REPORT'!$A$6:$A$37,R$4)+SUMIFS('TIME REPORT'!$P$6:$P$37,'TIME REPORT'!$A$6:$A$37,R$4)/60,MAX(0,SUMIFS('TIME REPORT'!$N$6:$N$37,'TIME REPORT'!$A$6:$A$37,R$4)+SUMIFS('TIME REPORT'!$P$6:$P$37,'TIME REPORT'!$A$6:$A$37,R$4)/60-$AO$1)))</f>
        <v/>
      </c>
      <c r="S32" s="85" t="str">
        <f>IF(COUNTIFS('TIME REPORT'!$A$6:$A$37,S$4,'TIME REPORT'!$Q$6:$Q$37,"Extra Hours")=0,"",IF(OR(WEEKDAY(DATE(HOLIDAYS!$E$3,HOLIDAYS!$E$2,S$4),2)&gt;=6,COUNTIF(HOLIDAYS!$A$5:$A$199,DATE(HOLIDAYS!$E$3,HOLIDAYS!$E$2,S$4))&gt;0),SUMIFS('TIME REPORT'!$N$6:$N$37,'TIME REPORT'!$A$6:$A$37,S$4)+SUMIFS('TIME REPORT'!$P$6:$P$37,'TIME REPORT'!$A$6:$A$37,S$4)/60,MAX(0,SUMIFS('TIME REPORT'!$N$6:$N$37,'TIME REPORT'!$A$6:$A$37,S$4)+SUMIFS('TIME REPORT'!$P$6:$P$37,'TIME REPORT'!$A$6:$A$37,S$4)/60-$AO$1)))</f>
        <v/>
      </c>
      <c r="T32" s="85" t="str">
        <f>IF(COUNTIFS('TIME REPORT'!$A$6:$A$37,T$4,'TIME REPORT'!$Q$6:$Q$37,"Extra Hours")=0,"",IF(OR(WEEKDAY(DATE(HOLIDAYS!$E$3,HOLIDAYS!$E$2,T$4),2)&gt;=6,COUNTIF(HOLIDAYS!$A$5:$A$199,DATE(HOLIDAYS!$E$3,HOLIDAYS!$E$2,T$4))&gt;0),SUMIFS('TIME REPORT'!$N$6:$N$37,'TIME REPORT'!$A$6:$A$37,T$4)+SUMIFS('TIME REPORT'!$P$6:$P$37,'TIME REPORT'!$A$6:$A$37,T$4)/60,MAX(0,SUMIFS('TIME REPORT'!$N$6:$N$37,'TIME REPORT'!$A$6:$A$37,T$4)+SUMIFS('TIME REPORT'!$P$6:$P$37,'TIME REPORT'!$A$6:$A$37,T$4)/60-$AO$1)))</f>
        <v/>
      </c>
      <c r="U32" s="85" t="str">
        <f>IF(COUNTIFS('TIME REPORT'!$A$6:$A$37,U$4,'TIME REPORT'!$Q$6:$Q$37,"Extra Hours")=0,"",IF(OR(WEEKDAY(DATE(HOLIDAYS!$E$3,HOLIDAYS!$E$2,U$4),2)&gt;=6,COUNTIF(HOLIDAYS!$A$5:$A$199,DATE(HOLIDAYS!$E$3,HOLIDAYS!$E$2,U$4))&gt;0),SUMIFS('TIME REPORT'!$N$6:$N$37,'TIME REPORT'!$A$6:$A$37,U$4)+SUMIFS('TIME REPORT'!$P$6:$P$37,'TIME REPORT'!$A$6:$A$37,U$4)/60,MAX(0,SUMIFS('TIME REPORT'!$N$6:$N$37,'TIME REPORT'!$A$6:$A$37,U$4)+SUMIFS('TIME REPORT'!$P$6:$P$37,'TIME REPORT'!$A$6:$A$37,U$4)/60-$AO$1)))</f>
        <v/>
      </c>
      <c r="V32" s="85" t="str">
        <f>IF(COUNTIFS('TIME REPORT'!$A$6:$A$37,V$4,'TIME REPORT'!$Q$6:$Q$37,"Extra Hours")=0,"",IF(OR(WEEKDAY(DATE(HOLIDAYS!$E$3,HOLIDAYS!$E$2,V$4),2)&gt;=6,COUNTIF(HOLIDAYS!$A$5:$A$199,DATE(HOLIDAYS!$E$3,HOLIDAYS!$E$2,V$4))&gt;0),SUMIFS('TIME REPORT'!$N$6:$N$37,'TIME REPORT'!$A$6:$A$37,V$4)+SUMIFS('TIME REPORT'!$P$6:$P$37,'TIME REPORT'!$A$6:$A$37,V$4)/60,MAX(0,SUMIFS('TIME REPORT'!$N$6:$N$37,'TIME REPORT'!$A$6:$A$37,V$4)+SUMIFS('TIME REPORT'!$P$6:$P$37,'TIME REPORT'!$A$6:$A$37,V$4)/60-$AO$1)))</f>
        <v/>
      </c>
      <c r="W32" s="85" t="str">
        <f>IF(COUNTIFS('TIME REPORT'!$A$6:$A$37,W$4,'TIME REPORT'!$Q$6:$Q$37,"Extra Hours")=0,"",IF(OR(WEEKDAY(DATE(HOLIDAYS!$E$3,HOLIDAYS!$E$2,W$4),2)&gt;=6,COUNTIF(HOLIDAYS!$A$5:$A$199,DATE(HOLIDAYS!$E$3,HOLIDAYS!$E$2,W$4))&gt;0),SUMIFS('TIME REPORT'!$N$6:$N$37,'TIME REPORT'!$A$6:$A$37,W$4)+SUMIFS('TIME REPORT'!$P$6:$P$37,'TIME REPORT'!$A$6:$A$37,W$4)/60,MAX(0,SUMIFS('TIME REPORT'!$N$6:$N$37,'TIME REPORT'!$A$6:$A$37,W$4)+SUMIFS('TIME REPORT'!$P$6:$P$37,'TIME REPORT'!$A$6:$A$37,W$4)/60-$AO$1)))</f>
        <v/>
      </c>
      <c r="X32" s="85" t="str">
        <f>IF(COUNTIFS('TIME REPORT'!$A$6:$A$37,X$4,'TIME REPORT'!$Q$6:$Q$37,"Extra Hours")=0,"",IF(OR(WEEKDAY(DATE(HOLIDAYS!$E$3,HOLIDAYS!$E$2,X$4),2)&gt;=6,COUNTIF(HOLIDAYS!$A$5:$A$199,DATE(HOLIDAYS!$E$3,HOLIDAYS!$E$2,X$4))&gt;0),SUMIFS('TIME REPORT'!$N$6:$N$37,'TIME REPORT'!$A$6:$A$37,X$4)+SUMIFS('TIME REPORT'!$P$6:$P$37,'TIME REPORT'!$A$6:$A$37,X$4)/60,MAX(0,SUMIFS('TIME REPORT'!$N$6:$N$37,'TIME REPORT'!$A$6:$A$37,X$4)+SUMIFS('TIME REPORT'!$P$6:$P$37,'TIME REPORT'!$A$6:$A$37,X$4)/60-$AO$1)))</f>
        <v/>
      </c>
      <c r="Y32" s="85" t="str">
        <f>IF(COUNTIFS('TIME REPORT'!$A$6:$A$37,Y$4,'TIME REPORT'!$Q$6:$Q$37,"Extra Hours")=0,"",IF(OR(WEEKDAY(DATE(HOLIDAYS!$E$3,HOLIDAYS!$E$2,Y$4),2)&gt;=6,COUNTIF(HOLIDAYS!$A$5:$A$199,DATE(HOLIDAYS!$E$3,HOLIDAYS!$E$2,Y$4))&gt;0),SUMIFS('TIME REPORT'!$N$6:$N$37,'TIME REPORT'!$A$6:$A$37,Y$4)+SUMIFS('TIME REPORT'!$P$6:$P$37,'TIME REPORT'!$A$6:$A$37,Y$4)/60,MAX(0,SUMIFS('TIME REPORT'!$N$6:$N$37,'TIME REPORT'!$A$6:$A$37,Y$4)+SUMIFS('TIME REPORT'!$P$6:$P$37,'TIME REPORT'!$A$6:$A$37,Y$4)/60-$AO$1)))</f>
        <v/>
      </c>
      <c r="Z32" s="85" t="str">
        <f>IF(COUNTIFS('TIME REPORT'!$A$6:$A$37,Z$4,'TIME REPORT'!$Q$6:$Q$37,"Extra Hours")=0,"",IF(OR(WEEKDAY(DATE(HOLIDAYS!$E$3,HOLIDAYS!$E$2,Z$4),2)&gt;=6,COUNTIF(HOLIDAYS!$A$5:$A$199,DATE(HOLIDAYS!$E$3,HOLIDAYS!$E$2,Z$4))&gt;0),SUMIFS('TIME REPORT'!$N$6:$N$37,'TIME REPORT'!$A$6:$A$37,Z$4)+SUMIFS('TIME REPORT'!$P$6:$P$37,'TIME REPORT'!$A$6:$A$37,Z$4)/60,MAX(0,SUMIFS('TIME REPORT'!$N$6:$N$37,'TIME REPORT'!$A$6:$A$37,Z$4)+SUMIFS('TIME REPORT'!$P$6:$P$37,'TIME REPORT'!$A$6:$A$37,Z$4)/60-$AO$1)))</f>
        <v/>
      </c>
      <c r="AA32" s="85" t="str">
        <f>IF(COUNTIFS('TIME REPORT'!$A$6:$A$37,AA$4,'TIME REPORT'!$Q$6:$Q$37,"Extra Hours")=0,"",IF(OR(WEEKDAY(DATE(HOLIDAYS!$E$3,HOLIDAYS!$E$2,AA$4),2)&gt;=6,COUNTIF(HOLIDAYS!$A$5:$A$199,DATE(HOLIDAYS!$E$3,HOLIDAYS!$E$2,AA$4))&gt;0),SUMIFS('TIME REPORT'!$N$6:$N$37,'TIME REPORT'!$A$6:$A$37,AA$4)+SUMIFS('TIME REPORT'!$P$6:$P$37,'TIME REPORT'!$A$6:$A$37,AA$4)/60,MAX(0,SUMIFS('TIME REPORT'!$N$6:$N$37,'TIME REPORT'!$A$6:$A$37,AA$4)+SUMIFS('TIME REPORT'!$P$6:$P$37,'TIME REPORT'!$A$6:$A$37,AA$4)/60-$AO$1)))</f>
        <v/>
      </c>
      <c r="AB32" s="85" t="str">
        <f>IF(COUNTIFS('TIME REPORT'!$A$6:$A$37,AB$4,'TIME REPORT'!$Q$6:$Q$37,"Extra Hours")=0,"",IF(OR(WEEKDAY(DATE(HOLIDAYS!$E$3,HOLIDAYS!$E$2,AB$4),2)&gt;=6,COUNTIF(HOLIDAYS!$A$5:$A$199,DATE(HOLIDAYS!$E$3,HOLIDAYS!$E$2,AB$4))&gt;0),SUMIFS('TIME REPORT'!$N$6:$N$37,'TIME REPORT'!$A$6:$A$37,AB$4)+SUMIFS('TIME REPORT'!$P$6:$P$37,'TIME REPORT'!$A$6:$A$37,AB$4)/60,MAX(0,SUMIFS('TIME REPORT'!$N$6:$N$37,'TIME REPORT'!$A$6:$A$37,AB$4)+SUMIFS('TIME REPORT'!$P$6:$P$37,'TIME REPORT'!$A$6:$A$37,AB$4)/60-$AO$1)))</f>
        <v/>
      </c>
      <c r="AC32" s="85" t="str">
        <f>IF(COUNTIFS('TIME REPORT'!$A$6:$A$37,AC$4,'TIME REPORT'!$Q$6:$Q$37,"Extra Hours")=0,"",IF(OR(WEEKDAY(DATE(HOLIDAYS!$E$3,HOLIDAYS!$E$2,AC$4),2)&gt;=6,COUNTIF(HOLIDAYS!$A$5:$A$199,DATE(HOLIDAYS!$E$3,HOLIDAYS!$E$2,AC$4))&gt;0),SUMIFS('TIME REPORT'!$N$6:$N$37,'TIME REPORT'!$A$6:$A$37,AC$4)+SUMIFS('TIME REPORT'!$P$6:$P$37,'TIME REPORT'!$A$6:$A$37,AC$4)/60,MAX(0,SUMIFS('TIME REPORT'!$N$6:$N$37,'TIME REPORT'!$A$6:$A$37,AC$4)+SUMIFS('TIME REPORT'!$P$6:$P$37,'TIME REPORT'!$A$6:$A$37,AC$4)/60-$AO$1)))</f>
        <v/>
      </c>
      <c r="AD32" s="85" t="str">
        <f>IF(COUNTIFS('TIME REPORT'!$A$6:$A$37,AD$4,'TIME REPORT'!$Q$6:$Q$37,"Extra Hours")=0,"",IF(OR(WEEKDAY(DATE(HOLIDAYS!$E$3,HOLIDAYS!$E$2,AD$4),2)&gt;=6,COUNTIF(HOLIDAYS!$A$5:$A$199,DATE(HOLIDAYS!$E$3,HOLIDAYS!$E$2,AD$4))&gt;0),SUMIFS('TIME REPORT'!$N$6:$N$37,'TIME REPORT'!$A$6:$A$37,AD$4)+SUMIFS('TIME REPORT'!$P$6:$P$37,'TIME REPORT'!$A$6:$A$37,AD$4)/60,MAX(0,SUMIFS('TIME REPORT'!$N$6:$N$37,'TIME REPORT'!$A$6:$A$37,AD$4)+SUMIFS('TIME REPORT'!$P$6:$P$37,'TIME REPORT'!$A$6:$A$37,AD$4)/60-$AO$1)))</f>
        <v/>
      </c>
      <c r="AE32" s="85" t="str">
        <f>IF(COUNTIFS('TIME REPORT'!$A$6:$A$37,AE$4,'TIME REPORT'!$Q$6:$Q$37,"Extra Hours")=0,"",IF(OR(WEEKDAY(DATE(HOLIDAYS!$E$3,HOLIDAYS!$E$2,AE$4),2)&gt;=6,COUNTIF(HOLIDAYS!$A$5:$A$199,DATE(HOLIDAYS!$E$3,HOLIDAYS!$E$2,AE$4))&gt;0),SUMIFS('TIME REPORT'!$N$6:$N$37,'TIME REPORT'!$A$6:$A$37,AE$4)+SUMIFS('TIME REPORT'!$P$6:$P$37,'TIME REPORT'!$A$6:$A$37,AE$4)/60,MAX(0,SUMIFS('TIME REPORT'!$N$6:$N$37,'TIME REPORT'!$A$6:$A$37,AE$4)+SUMIFS('TIME REPORT'!$P$6:$P$37,'TIME REPORT'!$A$6:$A$37,AE$4)/60-$AO$1)))</f>
        <v/>
      </c>
      <c r="AF32" s="85" t="str">
        <f>IF(COUNTIFS('TIME REPORT'!$A$6:$A$37,AF$4,'TIME REPORT'!$Q$6:$Q$37,"Extra Hours")=0,"",IF(OR(WEEKDAY(DATE(HOLIDAYS!$E$3,HOLIDAYS!$E$2,AF$4),2)&gt;=6,COUNTIF(HOLIDAYS!$A$5:$A$199,DATE(HOLIDAYS!$E$3,HOLIDAYS!$E$2,AF$4))&gt;0),SUMIFS('TIME REPORT'!$N$6:$N$37,'TIME REPORT'!$A$6:$A$37,AF$4)+SUMIFS('TIME REPORT'!$P$6:$P$37,'TIME REPORT'!$A$6:$A$37,AF$4)/60,MAX(0,SUMIFS('TIME REPORT'!$N$6:$N$37,'TIME REPORT'!$A$6:$A$37,AF$4)+SUMIFS('TIME REPORT'!$P$6:$P$37,'TIME REPORT'!$A$6:$A$37,AF$4)/60-$AO$1)))</f>
        <v/>
      </c>
      <c r="AG32" s="85" t="str">
        <f>IF(COUNTIFS('TIME REPORT'!$A$6:$A$37,AG$4,'TIME REPORT'!$Q$6:$Q$37,"Extra Hours")=0,"",IF(OR(WEEKDAY(DATE(HOLIDAYS!$E$3,HOLIDAYS!$E$2,AG$4),2)&gt;=6,COUNTIF(HOLIDAYS!$A$5:$A$199,DATE(HOLIDAYS!$E$3,HOLIDAYS!$E$2,AG$4))&gt;0),SUMIFS('TIME REPORT'!$N$6:$N$37,'TIME REPORT'!$A$6:$A$37,AG$4)+SUMIFS('TIME REPORT'!$P$6:$P$37,'TIME REPORT'!$A$6:$A$37,AG$4)/60,MAX(0,SUMIFS('TIME REPORT'!$N$6:$N$37,'TIME REPORT'!$A$6:$A$37,AG$4)+SUMIFS('TIME REPORT'!$P$6:$P$37,'TIME REPORT'!$A$6:$A$37,AG$4)/60-$AO$1)))</f>
        <v/>
      </c>
      <c r="AH32" s="85" t="str">
        <f>IF(COUNTIFS('TIME REPORT'!$A$6:$A$37,AH$4,'TIME REPORT'!$Q$6:$Q$37,"Extra Hours")=0,"",IF(OR(WEEKDAY(DATE(HOLIDAYS!$E$3,HOLIDAYS!$E$2,AH$4),2)&gt;=6,COUNTIF(HOLIDAYS!$A$5:$A$199,DATE(HOLIDAYS!$E$3,HOLIDAYS!$E$2,AH$4))&gt;0),SUMIFS('TIME REPORT'!$N$6:$N$37,'TIME REPORT'!$A$6:$A$37,AH$4)+SUMIFS('TIME REPORT'!$P$6:$P$37,'TIME REPORT'!$A$6:$A$37,AH$4)/60,MAX(0,SUMIFS('TIME REPORT'!$N$6:$N$37,'TIME REPORT'!$A$6:$A$37,AH$4)+SUMIFS('TIME REPORT'!$P$6:$P$37,'TIME REPORT'!$A$6:$A$37,AH$4)/60-$AO$1)))</f>
        <v/>
      </c>
      <c r="AI32" s="85" t="str">
        <f>IF(COUNTIFS('TIME REPORT'!$A$6:$A$37,AI$4,'TIME REPORT'!$Q$6:$Q$37,"Extra Hours")=0,"",IF(OR(WEEKDAY(DATE(HOLIDAYS!$E$3,HOLIDAYS!$E$2,AI$4),2)&gt;=6,COUNTIF(HOLIDAYS!$A$5:$A$199,DATE(HOLIDAYS!$E$3,HOLIDAYS!$E$2,AI$4))&gt;0),SUMIFS('TIME REPORT'!$N$6:$N$37,'TIME REPORT'!$A$6:$A$37,AI$4)+SUMIFS('TIME REPORT'!$P$6:$P$37,'TIME REPORT'!$A$6:$A$37,AI$4)/60,MAX(0,SUMIFS('TIME REPORT'!$N$6:$N$37,'TIME REPORT'!$A$6:$A$37,AI$4)+SUMIFS('TIME REPORT'!$P$6:$P$37,'TIME REPORT'!$A$6:$A$37,AI$4)/60-$AO$1)))</f>
        <v/>
      </c>
      <c r="AJ32" s="85" t="str">
        <f>IF(COUNTIFS('TIME REPORT'!$A$6:$A$37,AJ$4,'TIME REPORT'!$Q$6:$Q$37,"Extra Hours")=0,"",IF(OR(WEEKDAY(DATE(HOLIDAYS!$E$3,HOLIDAYS!$E$2,AJ$4),2)&gt;=6,COUNTIF(HOLIDAYS!$A$5:$A$199,DATE(HOLIDAYS!$E$3,HOLIDAYS!$E$2,AJ$4))&gt;0),SUMIFS('TIME REPORT'!$N$6:$N$37,'TIME REPORT'!$A$6:$A$37,AJ$4)+SUMIFS('TIME REPORT'!$P$6:$P$37,'TIME REPORT'!$A$6:$A$37,AJ$4)/60,MAX(0,SUMIFS('TIME REPORT'!$N$6:$N$37,'TIME REPORT'!$A$6:$A$37,AJ$4)+SUMIFS('TIME REPORT'!$P$6:$P$37,'TIME REPORT'!$A$6:$A$37,AJ$4)/60-$AO$1)))</f>
        <v/>
      </c>
      <c r="AK32" s="85" t="str">
        <f>IF(COUNTIFS('TIME REPORT'!$A$6:$A$37,AK$4,'TIME REPORT'!$Q$6:$Q$37,"Extra Hours")=0,"",IF(OR(WEEKDAY(DATE(HOLIDAYS!$E$3,HOLIDAYS!$E$2,AK$4),2)&gt;=6,COUNTIF(HOLIDAYS!$A$5:$A$199,DATE(HOLIDAYS!$E$3,HOLIDAYS!$E$2,AK$4))&gt;0),SUMIFS('TIME REPORT'!$N$6:$N$37,'TIME REPORT'!$A$6:$A$37,AK$4)+SUMIFS('TIME REPORT'!$P$6:$P$37,'TIME REPORT'!$A$6:$A$37,AK$4)/60,MAX(0,SUMIFS('TIME REPORT'!$N$6:$N$37,'TIME REPORT'!$A$6:$A$37,AK$4)+SUMIFS('TIME REPORT'!$P$6:$P$37,'TIME REPORT'!$A$6:$A$37,AK$4)/60-$AO$1)))</f>
        <v/>
      </c>
      <c r="AL32" s="86">
        <f>SUM(G32:AK32)</f>
        <v>0</v>
      </c>
      <c r="AM32" s="38"/>
      <c r="AN32" s="38"/>
      <c r="AO32" s="38"/>
      <c r="AP32" s="23"/>
      <c r="AQ32" s="23"/>
      <c r="AR32" s="23"/>
      <c r="AS32"/>
      <c r="AT32"/>
      <c r="AU32"/>
      <c r="AV32"/>
      <c r="AW32"/>
      <c r="AX32"/>
      <c r="AY32"/>
      <c r="AZ32"/>
      <c r="BA32"/>
    </row>
    <row r="33" spans="1:53" ht="29.4" thickBot="1">
      <c r="A33" s="40" t="s">
        <v>31</v>
      </c>
      <c r="B33" s="41"/>
      <c r="C33" s="41"/>
      <c r="D33" s="41"/>
      <c r="E33" s="41"/>
      <c r="F33" s="42"/>
      <c r="G33" s="90" t="str">
        <f ca="1">IF(SUM(G22,G30)=0,"",SUM(G22,G30)-SUM(G31:G32))</f>
        <v/>
      </c>
      <c r="H33" s="90" t="str">
        <f t="shared" ref="H33:AK33" ca="1" si="4">IF(SUM(H22,H30)=0,"",SUM(H22,H30)-SUM(H31:H32))</f>
        <v/>
      </c>
      <c r="I33" s="90" t="str">
        <f t="shared" ca="1" si="4"/>
        <v/>
      </c>
      <c r="J33" s="90" t="str">
        <f t="shared" ca="1" si="4"/>
        <v/>
      </c>
      <c r="K33" s="90" t="str">
        <f t="shared" ca="1" si="4"/>
        <v/>
      </c>
      <c r="L33" s="90" t="str">
        <f t="shared" ca="1" si="4"/>
        <v/>
      </c>
      <c r="M33" s="90" t="str">
        <f t="shared" ca="1" si="4"/>
        <v/>
      </c>
      <c r="N33" s="90" t="str">
        <f t="shared" ca="1" si="4"/>
        <v/>
      </c>
      <c r="O33" s="90" t="str">
        <f t="shared" ca="1" si="4"/>
        <v/>
      </c>
      <c r="P33" s="90" t="str">
        <f t="shared" ca="1" si="4"/>
        <v/>
      </c>
      <c r="Q33" s="90" t="str">
        <f t="shared" ca="1" si="4"/>
        <v/>
      </c>
      <c r="R33" s="90" t="str">
        <f t="shared" ca="1" si="4"/>
        <v/>
      </c>
      <c r="S33" s="90" t="str">
        <f t="shared" ca="1" si="4"/>
        <v/>
      </c>
      <c r="T33" s="90" t="str">
        <f t="shared" ca="1" si="4"/>
        <v/>
      </c>
      <c r="U33" s="90" t="str">
        <f t="shared" ca="1" si="4"/>
        <v/>
      </c>
      <c r="V33" s="90" t="str">
        <f t="shared" ca="1" si="4"/>
        <v/>
      </c>
      <c r="W33" s="90" t="str">
        <f t="shared" ca="1" si="4"/>
        <v/>
      </c>
      <c r="X33" s="90" t="str">
        <f t="shared" ca="1" si="4"/>
        <v/>
      </c>
      <c r="Y33" s="90" t="str">
        <f t="shared" ca="1" si="4"/>
        <v/>
      </c>
      <c r="Z33" s="90" t="str">
        <f t="shared" ca="1" si="4"/>
        <v/>
      </c>
      <c r="AA33" s="90" t="str">
        <f t="shared" ca="1" si="4"/>
        <v/>
      </c>
      <c r="AB33" s="90" t="str">
        <f t="shared" ca="1" si="4"/>
        <v/>
      </c>
      <c r="AC33" s="90" t="str">
        <f t="shared" ca="1" si="4"/>
        <v/>
      </c>
      <c r="AD33" s="90" t="str">
        <f t="shared" ca="1" si="4"/>
        <v/>
      </c>
      <c r="AE33" s="90" t="str">
        <f t="shared" ca="1" si="4"/>
        <v/>
      </c>
      <c r="AF33" s="90" t="str">
        <f t="shared" ca="1" si="4"/>
        <v/>
      </c>
      <c r="AG33" s="90" t="str">
        <f t="shared" ca="1" si="4"/>
        <v/>
      </c>
      <c r="AH33" s="90" t="str">
        <f t="shared" ca="1" si="4"/>
        <v/>
      </c>
      <c r="AI33" s="90" t="str">
        <f t="shared" ca="1" si="4"/>
        <v/>
      </c>
      <c r="AJ33" s="90" t="str">
        <f t="shared" ca="1" si="4"/>
        <v/>
      </c>
      <c r="AK33" s="90" t="str">
        <f t="shared" ca="1" si="4"/>
        <v/>
      </c>
      <c r="AL33" s="93">
        <f ca="1">SUM(AL22,AL30)-SUM(AL31:AL32)</f>
        <v>0</v>
      </c>
      <c r="AM33" s="38"/>
      <c r="AN33" s="38"/>
      <c r="AO33" s="38"/>
      <c r="AP33" s="3">
        <f ca="1">+AL22+AL30-AL33-AL32-AL31</f>
        <v>0</v>
      </c>
      <c r="AQ33" s="43"/>
      <c r="AR33" s="3">
        <f ca="1">+AL22+AL30-AL31-AL32</f>
        <v>0</v>
      </c>
      <c r="AS33"/>
      <c r="AT33"/>
      <c r="AU33"/>
      <c r="AV33"/>
      <c r="AW33"/>
      <c r="AX33"/>
      <c r="AY33"/>
      <c r="AZ33"/>
      <c r="BA33"/>
    </row>
    <row r="34" spans="1:53">
      <c r="A34" s="23"/>
      <c r="B34" s="23"/>
      <c r="C34" s="23"/>
      <c r="D34" s="23"/>
      <c r="E34" s="23"/>
      <c r="F34" s="23"/>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3">
        <f ca="1">+AL22+AL30-AL31-AL32-AL33</f>
        <v>0</v>
      </c>
      <c r="AM34" s="43"/>
      <c r="AN34" s="43"/>
      <c r="AO34" s="43"/>
      <c r="AP34" s="23"/>
      <c r="AQ34" s="23"/>
      <c r="AR34" s="23"/>
      <c r="AS34"/>
      <c r="AT34"/>
      <c r="AU34"/>
      <c r="AV34"/>
      <c r="AW34"/>
      <c r="AX34"/>
      <c r="AY34"/>
      <c r="AZ34"/>
      <c r="BA34"/>
    </row>
    <row r="35" spans="1:53">
      <c r="AL35" s="3"/>
      <c r="AS35"/>
      <c r="AT35"/>
      <c r="AU35"/>
      <c r="AV35"/>
      <c r="AW35"/>
      <c r="AX35"/>
      <c r="AY35"/>
      <c r="AZ35"/>
      <c r="BA35"/>
    </row>
    <row r="36" spans="1:53">
      <c r="AS36"/>
      <c r="AT36"/>
      <c r="AU36"/>
      <c r="AV36"/>
      <c r="AW36"/>
      <c r="AX36"/>
      <c r="AY36"/>
      <c r="AZ36"/>
      <c r="BA36"/>
    </row>
    <row r="37" spans="1:53">
      <c r="AS37"/>
      <c r="AT37"/>
      <c r="AU37"/>
      <c r="AV37"/>
      <c r="AW37"/>
      <c r="AX37"/>
      <c r="AY37"/>
      <c r="AZ37"/>
      <c r="BA37"/>
    </row>
    <row r="38" spans="1:53">
      <c r="AS38"/>
      <c r="AT38"/>
      <c r="AU38"/>
      <c r="AV38"/>
      <c r="AW38"/>
      <c r="AX38"/>
      <c r="AY38"/>
      <c r="AZ38"/>
      <c r="BA38"/>
    </row>
    <row r="39" spans="1:53">
      <c r="AS39"/>
      <c r="AT39"/>
      <c r="AU39"/>
      <c r="AV39"/>
      <c r="AW39"/>
      <c r="AX39"/>
      <c r="AY39"/>
      <c r="AZ39"/>
      <c r="BA39"/>
    </row>
    <row r="40" spans="1:53">
      <c r="AS40"/>
      <c r="AT40"/>
      <c r="AU40"/>
      <c r="AV40"/>
      <c r="AW40"/>
      <c r="AX40"/>
      <c r="AY40"/>
      <c r="AZ40"/>
      <c r="BA40"/>
    </row>
    <row r="41" spans="1:53">
      <c r="AS41"/>
      <c r="AT41"/>
      <c r="AU41"/>
      <c r="AV41"/>
      <c r="AW41"/>
      <c r="AX41"/>
      <c r="AY41"/>
      <c r="AZ41"/>
      <c r="BA41"/>
    </row>
    <row r="42" spans="1:53">
      <c r="AS42"/>
      <c r="AT42"/>
      <c r="AU42"/>
      <c r="AV42"/>
      <c r="AW42"/>
      <c r="AX42"/>
      <c r="AY42"/>
      <c r="AZ42"/>
      <c r="BA42"/>
    </row>
    <row r="43" spans="1:53">
      <c r="AS43"/>
      <c r="AT43"/>
      <c r="AU43"/>
      <c r="AV43"/>
      <c r="AW43"/>
      <c r="AX43"/>
      <c r="AY43"/>
      <c r="AZ43"/>
      <c r="BA43"/>
    </row>
    <row r="44" spans="1:53">
      <c r="L44" s="4"/>
      <c r="O44" s="4"/>
      <c r="S44" s="4"/>
      <c r="AS44"/>
      <c r="AT44"/>
      <c r="AU44"/>
      <c r="AV44"/>
      <c r="AW44"/>
      <c r="AX44"/>
      <c r="AY44"/>
      <c r="AZ44"/>
      <c r="BA44"/>
    </row>
    <row r="45" spans="1:53">
      <c r="AS45"/>
      <c r="AT45"/>
      <c r="AU45"/>
      <c r="AV45"/>
      <c r="AW45"/>
      <c r="AX45"/>
      <c r="AY45"/>
      <c r="AZ45"/>
      <c r="BA45"/>
    </row>
    <row r="46" spans="1:53">
      <c r="AS46"/>
      <c r="AT46"/>
      <c r="AU46"/>
      <c r="AV46"/>
      <c r="AW46"/>
      <c r="AX46"/>
      <c r="AY46"/>
      <c r="AZ46"/>
      <c r="BA46"/>
    </row>
    <row r="47" spans="1:53">
      <c r="AS47"/>
      <c r="AT47"/>
      <c r="AU47"/>
      <c r="AV47"/>
      <c r="AW47"/>
      <c r="AX47"/>
      <c r="AY47"/>
      <c r="AZ47"/>
      <c r="BA47"/>
    </row>
    <row r="48" spans="1:53">
      <c r="AS48"/>
      <c r="AT48"/>
      <c r="AU48"/>
      <c r="AV48"/>
      <c r="AW48"/>
      <c r="AX48"/>
      <c r="AY48"/>
      <c r="AZ48"/>
      <c r="BA48"/>
    </row>
    <row r="49" spans="45:53">
      <c r="AS49"/>
      <c r="AT49"/>
      <c r="AU49"/>
      <c r="AV49"/>
      <c r="AW49"/>
      <c r="AX49"/>
      <c r="AY49"/>
      <c r="AZ49"/>
      <c r="BA49"/>
    </row>
    <row r="50" spans="45:53">
      <c r="AS50"/>
      <c r="AT50"/>
      <c r="AU50"/>
      <c r="AV50"/>
      <c r="AW50"/>
      <c r="AX50"/>
      <c r="AY50"/>
      <c r="AZ50"/>
      <c r="BA50"/>
    </row>
    <row r="51" spans="45:53">
      <c r="AS51"/>
      <c r="AT51"/>
      <c r="AU51"/>
      <c r="AV51"/>
      <c r="AW51"/>
      <c r="AX51"/>
      <c r="AY51"/>
      <c r="AZ51"/>
      <c r="BA51"/>
    </row>
    <row r="52" spans="45:53">
      <c r="AS52"/>
      <c r="AT52"/>
      <c r="AU52"/>
      <c r="AV52"/>
      <c r="AW52"/>
      <c r="AX52"/>
      <c r="AY52"/>
      <c r="AZ52"/>
      <c r="BA52"/>
    </row>
    <row r="53" spans="45:53">
      <c r="AS53"/>
      <c r="AT53"/>
      <c r="AU53"/>
      <c r="AV53"/>
      <c r="AW53"/>
      <c r="AX53"/>
      <c r="AY53"/>
      <c r="AZ53"/>
      <c r="BA53"/>
    </row>
    <row r="54" spans="45:53">
      <c r="AS54"/>
      <c r="AT54"/>
      <c r="AU54"/>
      <c r="AV54"/>
      <c r="AW54"/>
      <c r="AX54"/>
      <c r="AY54"/>
      <c r="AZ54"/>
      <c r="BA54"/>
    </row>
    <row r="55" spans="45:53">
      <c r="AS55"/>
      <c r="AT55"/>
      <c r="AU55"/>
      <c r="AV55"/>
      <c r="AW55"/>
      <c r="AX55"/>
      <c r="AY55"/>
      <c r="AZ55"/>
      <c r="BA55"/>
    </row>
    <row r="56" spans="45:53">
      <c r="AS56"/>
      <c r="AT56"/>
      <c r="AU56"/>
      <c r="AV56"/>
      <c r="AW56"/>
      <c r="AX56"/>
      <c r="AY56"/>
      <c r="AZ56"/>
      <c r="BA56"/>
    </row>
    <row r="57" spans="45:53">
      <c r="AS57"/>
      <c r="AT57"/>
      <c r="AU57"/>
      <c r="AV57"/>
      <c r="AW57"/>
      <c r="AX57"/>
      <c r="AY57"/>
      <c r="AZ57"/>
      <c r="BA57"/>
    </row>
    <row r="58" spans="45:53">
      <c r="AS58"/>
      <c r="AT58"/>
      <c r="AU58"/>
      <c r="AV58"/>
      <c r="AW58"/>
      <c r="AX58"/>
      <c r="AY58"/>
      <c r="AZ58"/>
      <c r="BA58"/>
    </row>
    <row r="59" spans="45:53">
      <c r="AS59"/>
      <c r="AT59"/>
      <c r="AU59"/>
      <c r="AV59"/>
      <c r="AW59"/>
      <c r="AX59"/>
      <c r="AY59"/>
      <c r="AZ59"/>
      <c r="BA59"/>
    </row>
    <row r="60" spans="45:53">
      <c r="AS60"/>
      <c r="AT60"/>
      <c r="AU60"/>
      <c r="AV60"/>
      <c r="AW60"/>
      <c r="AX60"/>
      <c r="AY60"/>
      <c r="AZ60"/>
      <c r="BA60"/>
    </row>
    <row r="61" spans="45:53">
      <c r="AS61"/>
      <c r="AT61"/>
      <c r="AU61"/>
      <c r="AV61"/>
      <c r="AW61"/>
      <c r="AX61"/>
      <c r="AY61"/>
      <c r="AZ61"/>
      <c r="BA61"/>
    </row>
  </sheetData>
  <sheetProtection sheet="1" objects="1" scenarios="1" formatCells="0" formatColumns="0" formatRows="0" autoFilter="0"/>
  <mergeCells count="33">
    <mergeCell ref="B15:C15"/>
    <mergeCell ref="E15:F15"/>
    <mergeCell ref="B16:C16"/>
    <mergeCell ref="E16:F16"/>
    <mergeCell ref="B20:C20"/>
    <mergeCell ref="E20:F20"/>
    <mergeCell ref="B17:C17"/>
    <mergeCell ref="E17:F17"/>
    <mergeCell ref="B18:C18"/>
    <mergeCell ref="E18:F18"/>
    <mergeCell ref="B19:C19"/>
    <mergeCell ref="E19:F19"/>
    <mergeCell ref="B12:C12"/>
    <mergeCell ref="E12:F12"/>
    <mergeCell ref="B13:C13"/>
    <mergeCell ref="E13:F13"/>
    <mergeCell ref="B14:C14"/>
    <mergeCell ref="E14:F14"/>
    <mergeCell ref="B6:C6"/>
    <mergeCell ref="B7:C7"/>
    <mergeCell ref="E8:F8"/>
    <mergeCell ref="E7:F7"/>
    <mergeCell ref="B8:C8"/>
    <mergeCell ref="B9:C9"/>
    <mergeCell ref="E9:F9"/>
    <mergeCell ref="B11:C11"/>
    <mergeCell ref="E11:F11"/>
    <mergeCell ref="E10:F10"/>
    <mergeCell ref="A3:B3"/>
    <mergeCell ref="C3:D3"/>
    <mergeCell ref="Z3:AD3"/>
    <mergeCell ref="A4:F4"/>
    <mergeCell ref="A5:F5"/>
  </mergeCells>
  <phoneticPr fontId="11" type="noConversion"/>
  <dataValidations count="5">
    <dataValidation type="list" allowBlank="1" showInputMessage="1" showErrorMessage="1" sqref="IX6:IY21 WVJ6:WVK21 ST6:SU21 ACP6:ACQ21 AML6:AMM21 AWH6:AWI21 BGD6:BGE21 BPZ6:BQA21 BZV6:BZW21 CJR6:CJS21 CTN6:CTO21 DDJ6:DDK21 DNF6:DNG21 DXB6:DXC21 EGX6:EGY21 EQT6:EQU21 FAP6:FAQ21 FKL6:FKM21 FUH6:FUI21 GED6:GEE21 GNZ6:GOA21 GXV6:GXW21 HHR6:HHS21 HRN6:HRO21 IBJ6:IBK21 ILF6:ILG21 IVB6:IVC21 JEX6:JEY21 JOT6:JOU21 JYP6:JYQ21 KIL6:KIM21 KSH6:KSI21 LCD6:LCE21 LLZ6:LMA21 LVV6:LVW21 MFR6:MFS21 MPN6:MPO21 MZJ6:MZK21 NJF6:NJG21 NTB6:NTC21 OCX6:OCY21 OMT6:OMU21 OWP6:OWQ21 PGL6:PGM21 PQH6:PQI21 QAD6:QAE21 QJZ6:QKA21 QTV6:QTW21 RDR6:RDS21 RNN6:RNO21 RXJ6:RXK21 SHF6:SHG21 SRB6:SRC21 TAX6:TAY21 TKT6:TKU21 TUP6:TUQ21 UEL6:UEM21 UOH6:UOI21 UYD6:UYE21 VHZ6:VIA21 VRV6:VRW21 WBR6:WBS21 WLN6:WLO21 B6:C21" xr:uid="{6CF68F4E-5AE4-44AB-8FC7-C619E8CF6336}">
      <formula1>$AY$8:$AY$60</formula1>
    </dataValidation>
    <dataValidation type="list" allowBlank="1" showInputMessage="1" showErrorMessage="1" sqref="IZ6:IZ21 SV6:SV21 ACR6:ACR21 AMN6:AMN21 AWJ6:AWJ21 BGF6:BGF21 BQB6:BQB21 BZX6:BZX21 CJT6:CJT21 CTP6:CTP21 DDL6:DDL21 DNH6:DNH21 DXD6:DXD21 EGZ6:EGZ21 EQV6:EQV21 FAR6:FAR21 FKN6:FKN21 FUJ6:FUJ21 GEF6:GEF21 GOB6:GOB21 GXX6:GXX21 HHT6:HHT21 HRP6:HRP21 IBL6:IBL21 ILH6:ILH21 IVD6:IVD21 JEZ6:JEZ21 JOV6:JOV21 JYR6:JYR21 KIN6:KIN21 KSJ6:KSJ21 LCF6:LCF21 LMB6:LMB21 LVX6:LVX21 MFT6:MFT21 MPP6:MPP21 MZL6:MZL21 NJH6:NJH21 NTD6:NTD21 OCZ6:OCZ21 OMV6:OMV21 OWR6:OWR21 PGN6:PGN21 PQJ6:PQJ21 QAF6:QAF21 QKB6:QKB21 QTX6:QTX21 RDT6:RDT21 RNP6:RNP21 RXL6:RXL21 SHH6:SHH21 SRD6:SRD21 TAZ6:TAZ21 TKV6:TKV21 TUR6:TUR21 UEN6:UEN21 UOJ6:UOJ21 UYF6:UYF21 VIB6:VIB21 VRX6:VRX21 WBT6:WBT21 WLP6:WLP21 WVL6:WVL21 D11:D21" xr:uid="{E95EAEA8-5F86-49CF-927E-B5EA9BE8700C}">
      <formula1>PER</formula1>
    </dataValidation>
    <dataValidation type="list" allowBlank="1" showInputMessage="1" showErrorMessage="1" error="ปี" sqref="WVN3 JB3 SX3 ACT3 AMP3 AWL3 BGH3 BQD3 BZZ3 CJV3 CTR3 DDN3 DNJ3 DXF3 EHB3 EQX3 FAT3 FKP3 FUL3 GEH3 GOD3 GXZ3 HHV3 HRR3 IBN3 ILJ3 IVF3 JFB3 JOX3 JYT3 KIP3 KSL3 LCH3 LMD3 LVZ3 MFV3 MPR3 MZN3 NJJ3 NTF3 ODB3 OMX3 OWT3 PGP3 PQL3 QAH3 QKD3 QTZ3 RDV3 RNR3 RXN3 SHJ3 SRF3 TBB3 TKX3 TUT3 UEP3 UOL3 UYH3 VID3 VRZ3 WBV3 WLR3" xr:uid="{C347FD2C-18C0-4AA1-9C7D-9F7DFF711362}">
      <formula1>YEAR</formula1>
    </dataValidation>
    <dataValidation type="list" allowBlank="1" showInputMessage="1" showErrorMessage="1" sqref="WVK3:WVL3 IY3:IZ3 SU3:SV3 ACQ3:ACR3 AMM3:AMN3 AWI3:AWJ3 BGE3:BGF3 BQA3:BQB3 BZW3:BZX3 CJS3:CJT3 CTO3:CTP3 DDK3:DDL3 DNG3:DNH3 DXC3:DXD3 EGY3:EGZ3 EQU3:EQV3 FAQ3:FAR3 FKM3:FKN3 FUI3:FUJ3 GEE3:GEF3 GOA3:GOB3 GXW3:GXX3 HHS3:HHT3 HRO3:HRP3 IBK3:IBL3 ILG3:ILH3 IVC3:IVD3 JEY3:JEZ3 JOU3:JOV3 JYQ3:JYR3 KIM3:KIN3 KSI3:KSJ3 LCE3:LCF3 LMA3:LMB3 LVW3:LVX3 MFS3:MFT3 MPO3:MPP3 MZK3:MZL3 NJG3:NJH3 NTC3:NTD3 OCY3:OCZ3 OMU3:OMV3 OWQ3:OWR3 PGM3:PGN3 PQI3:PQJ3 QAE3:QAF3 QKA3:QKB3 QTW3:QTX3 RDS3:RDT3 RNO3:RNP3 RXK3:RXL3 SHG3:SHH3 SRC3:SRD3 TAY3:TAZ3 TKU3:TKV3 TUQ3:TUR3 UEM3:UEN3 UOI3:UOJ3 UYE3:UYF3 VIA3:VIB3 VRW3:VRX3 WBS3:WBT3 WLO3:WLP3 D3" xr:uid="{CFFE56BF-4A4B-45E7-B622-F6AEF5A22DB3}">
      <formula1>list</formula1>
    </dataValidation>
    <dataValidation type="list" allowBlank="1" showInputMessage="1" showErrorMessage="1" sqref="D6:D10" xr:uid="{47C2FC8F-10C2-4A0B-8131-62C6E950D5DE}">
      <formula1>$BA$8:$BA$18</formula1>
    </dataValidation>
  </dataValidations>
  <pageMargins left="0.39370078740157483" right="0.19685039370078741" top="0.22" bottom="0.39370078740157483" header="0.39" footer="0.39370078740157483"/>
  <pageSetup paperSize="9" scale="60" orientation="landscape" r:id="rId1"/>
  <headerFooter alignWithMargins="0"/>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1" stopIfTrue="1" id="{3EDEDEC7-08A1-4C30-B75A-492B67DC6B3A}">
            <xm:f>AND(AND(ISNUMBER(G$4),G$4&gt;=1,G$4&lt;=DAY(EOMONTH(DATE(HOLIDAYS!$E$3,HOLIDAYS!$E$2,1),0))),WEEKDAY(DATE(HOLIDAYS!$E$3,HOLIDAYS!$E$2,G$4),2)&gt;5)</xm:f>
            <x14:dxf>
              <fill>
                <patternFill patternType="solid">
                  <fgColor indexed="64"/>
                  <bgColor rgb="FFFFF2CC"/>
                </patternFill>
              </fill>
            </x14:dxf>
          </x14:cfRule>
          <x14:cfRule type="expression" priority="12" stopIfTrue="1" id="{61D3BCD1-E437-40F7-A9C1-759AFB05B284}">
            <xm:f>AND(AND(ISNUMBER(G$4),G$4&gt;=1,G$4&lt;=DAY(EOMONTH(DATE(HOLIDAYS!$E$3,HOLIDAYS!$E$2,1),0))),COUNTIF(HOLIDAYS!$A$5:$A$199,DATE(HOLIDAYS!$E$3,HOLIDAYS!$E$2,G$4))&gt;0)</xm:f>
            <x14:dxf>
              <fill>
                <patternFill patternType="solid">
                  <fgColor indexed="64"/>
                  <bgColor rgb="FFC6EFCE"/>
                </patternFill>
              </fill>
            </x14:dxf>
          </x14:cfRule>
          <xm:sqref>G4:AK33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C67D6F71-85FC-4390-A9CC-297303DF6FB2}">
          <x14:formula1>
            <xm:f>HOLIDAYS!$G$3:$G$14</xm:f>
          </x14:formula1>
          <xm:sqref>C3</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08C78-78CB-4E69-A634-C5F59AFC531B}">
  <sheetPr>
    <pageSetUpPr fitToPage="1"/>
  </sheetPr>
  <dimension ref="A1:AD40"/>
  <sheetViews>
    <sheetView view="pageBreakPreview" topLeftCell="A19" zoomScaleNormal="70" zoomScaleSheetLayoutView="100" workbookViewId="0">
      <selection activeCell="E36" sqref="E10:G36"/>
    </sheetView>
  </sheetViews>
  <sheetFormatPr defaultColWidth="8.6640625" defaultRowHeight="25.05" customHeight="1"/>
  <cols>
    <col min="1" max="1" width="7.6640625" style="15" customWidth="1"/>
    <col min="2" max="2" width="9.6640625" style="15" customWidth="1"/>
    <col min="3" max="3" width="3.77734375" style="15" customWidth="1"/>
    <col min="4" max="4" width="5.77734375" style="15" customWidth="1"/>
    <col min="5" max="5" width="5.21875" style="15" customWidth="1"/>
    <col min="6" max="6" width="3.21875" style="15" customWidth="1"/>
    <col min="7" max="7" width="3.77734375" style="15" customWidth="1"/>
    <col min="8" max="12" width="7.21875" style="15" customWidth="1"/>
    <col min="13" max="13" width="10.44140625" style="15" customWidth="1"/>
    <col min="14" max="15" width="5.21875" style="15" customWidth="1"/>
    <col min="16" max="16" width="9.77734375" style="15" customWidth="1"/>
    <col min="17" max="17" width="12.77734375" style="17" customWidth="1"/>
    <col min="18" max="20" width="7.6640625" style="15" customWidth="1"/>
    <col min="21" max="21" width="14.21875" style="21" bestFit="1" customWidth="1"/>
    <col min="22" max="22" width="30.77734375" style="15" customWidth="1"/>
    <col min="23" max="23" width="12.33203125" style="21" customWidth="1"/>
    <col min="24" max="24" width="5" style="15" customWidth="1"/>
    <col min="25" max="25" width="23.33203125" style="15" bestFit="1" customWidth="1"/>
    <col min="26" max="26" width="7.33203125" style="15" bestFit="1" customWidth="1"/>
    <col min="27" max="27" width="8.109375" style="15" bestFit="1" customWidth="1"/>
    <col min="28" max="28" width="11" style="15" bestFit="1" customWidth="1"/>
    <col min="29" max="29" width="4" style="15" bestFit="1" customWidth="1"/>
    <col min="30" max="39" width="5" style="15" customWidth="1"/>
    <col min="40" max="40" width="0" style="15" hidden="1" customWidth="1"/>
    <col min="41" max="256" width="8.6640625" style="15"/>
    <col min="257" max="257" width="7.6640625" style="15" customWidth="1"/>
    <col min="258" max="258" width="9.6640625" style="15" customWidth="1"/>
    <col min="259" max="259" width="3.77734375" style="15" customWidth="1"/>
    <col min="260" max="260" width="5.77734375" style="15" customWidth="1"/>
    <col min="261" max="261" width="5.21875" style="15" customWidth="1"/>
    <col min="262" max="262" width="3.21875" style="15" customWidth="1"/>
    <col min="263" max="263" width="3.44140625" style="15" customWidth="1"/>
    <col min="264" max="268" width="7.21875" style="15" customWidth="1"/>
    <col min="269" max="269" width="23.21875" style="15" customWidth="1"/>
    <col min="270" max="271" width="5.21875" style="15" customWidth="1"/>
    <col min="272" max="272" width="9.77734375" style="15" customWidth="1"/>
    <col min="273" max="273" width="8.44140625" style="15" customWidth="1"/>
    <col min="274" max="276" width="7.6640625" style="15" customWidth="1"/>
    <col min="277" max="277" width="14.21875" style="15" bestFit="1" customWidth="1"/>
    <col min="278" max="278" width="30.77734375" style="15" customWidth="1"/>
    <col min="279" max="295" width="5" style="15" customWidth="1"/>
    <col min="296" max="296" width="0" style="15" hidden="1" customWidth="1"/>
    <col min="297" max="512" width="8.6640625" style="15"/>
    <col min="513" max="513" width="7.6640625" style="15" customWidth="1"/>
    <col min="514" max="514" width="9.6640625" style="15" customWidth="1"/>
    <col min="515" max="515" width="3.77734375" style="15" customWidth="1"/>
    <col min="516" max="516" width="5.77734375" style="15" customWidth="1"/>
    <col min="517" max="517" width="5.21875" style="15" customWidth="1"/>
    <col min="518" max="518" width="3.21875" style="15" customWidth="1"/>
    <col min="519" max="519" width="3.44140625" style="15" customWidth="1"/>
    <col min="520" max="524" width="7.21875" style="15" customWidth="1"/>
    <col min="525" max="525" width="23.21875" style="15" customWidth="1"/>
    <col min="526" max="527" width="5.21875" style="15" customWidth="1"/>
    <col min="528" max="528" width="9.77734375" style="15" customWidth="1"/>
    <col min="529" max="529" width="8.44140625" style="15" customWidth="1"/>
    <col min="530" max="532" width="7.6640625" style="15" customWidth="1"/>
    <col min="533" max="533" width="14.21875" style="15" bestFit="1" customWidth="1"/>
    <col min="534" max="534" width="30.77734375" style="15" customWidth="1"/>
    <col min="535" max="551" width="5" style="15" customWidth="1"/>
    <col min="552" max="552" width="0" style="15" hidden="1" customWidth="1"/>
    <col min="553" max="768" width="8.6640625" style="15"/>
    <col min="769" max="769" width="7.6640625" style="15" customWidth="1"/>
    <col min="770" max="770" width="9.6640625" style="15" customWidth="1"/>
    <col min="771" max="771" width="3.77734375" style="15" customWidth="1"/>
    <col min="772" max="772" width="5.77734375" style="15" customWidth="1"/>
    <col min="773" max="773" width="5.21875" style="15" customWidth="1"/>
    <col min="774" max="774" width="3.21875" style="15" customWidth="1"/>
    <col min="775" max="775" width="3.44140625" style="15" customWidth="1"/>
    <col min="776" max="780" width="7.21875" style="15" customWidth="1"/>
    <col min="781" max="781" width="23.21875" style="15" customWidth="1"/>
    <col min="782" max="783" width="5.21875" style="15" customWidth="1"/>
    <col min="784" max="784" width="9.77734375" style="15" customWidth="1"/>
    <col min="785" max="785" width="8.44140625" style="15" customWidth="1"/>
    <col min="786" max="788" width="7.6640625" style="15" customWidth="1"/>
    <col min="789" max="789" width="14.21875" style="15" bestFit="1" customWidth="1"/>
    <col min="790" max="790" width="30.77734375" style="15" customWidth="1"/>
    <col min="791" max="807" width="5" style="15" customWidth="1"/>
    <col min="808" max="808" width="0" style="15" hidden="1" customWidth="1"/>
    <col min="809" max="1024" width="8.6640625" style="15"/>
    <col min="1025" max="1025" width="7.6640625" style="15" customWidth="1"/>
    <col min="1026" max="1026" width="9.6640625" style="15" customWidth="1"/>
    <col min="1027" max="1027" width="3.77734375" style="15" customWidth="1"/>
    <col min="1028" max="1028" width="5.77734375" style="15" customWidth="1"/>
    <col min="1029" max="1029" width="5.21875" style="15" customWidth="1"/>
    <col min="1030" max="1030" width="3.21875" style="15" customWidth="1"/>
    <col min="1031" max="1031" width="3.44140625" style="15" customWidth="1"/>
    <col min="1032" max="1036" width="7.21875" style="15" customWidth="1"/>
    <col min="1037" max="1037" width="23.21875" style="15" customWidth="1"/>
    <col min="1038" max="1039" width="5.21875" style="15" customWidth="1"/>
    <col min="1040" max="1040" width="9.77734375" style="15" customWidth="1"/>
    <col min="1041" max="1041" width="8.44140625" style="15" customWidth="1"/>
    <col min="1042" max="1044" width="7.6640625" style="15" customWidth="1"/>
    <col min="1045" max="1045" width="14.21875" style="15" bestFit="1" customWidth="1"/>
    <col min="1046" max="1046" width="30.77734375" style="15" customWidth="1"/>
    <col min="1047" max="1063" width="5" style="15" customWidth="1"/>
    <col min="1064" max="1064" width="0" style="15" hidden="1" customWidth="1"/>
    <col min="1065" max="1280" width="8.6640625" style="15"/>
    <col min="1281" max="1281" width="7.6640625" style="15" customWidth="1"/>
    <col min="1282" max="1282" width="9.6640625" style="15" customWidth="1"/>
    <col min="1283" max="1283" width="3.77734375" style="15" customWidth="1"/>
    <col min="1284" max="1284" width="5.77734375" style="15" customWidth="1"/>
    <col min="1285" max="1285" width="5.21875" style="15" customWidth="1"/>
    <col min="1286" max="1286" width="3.21875" style="15" customWidth="1"/>
    <col min="1287" max="1287" width="3.44140625" style="15" customWidth="1"/>
    <col min="1288" max="1292" width="7.21875" style="15" customWidth="1"/>
    <col min="1293" max="1293" width="23.21875" style="15" customWidth="1"/>
    <col min="1294" max="1295" width="5.21875" style="15" customWidth="1"/>
    <col min="1296" max="1296" width="9.77734375" style="15" customWidth="1"/>
    <col min="1297" max="1297" width="8.44140625" style="15" customWidth="1"/>
    <col min="1298" max="1300" width="7.6640625" style="15" customWidth="1"/>
    <col min="1301" max="1301" width="14.21875" style="15" bestFit="1" customWidth="1"/>
    <col min="1302" max="1302" width="30.77734375" style="15" customWidth="1"/>
    <col min="1303" max="1319" width="5" style="15" customWidth="1"/>
    <col min="1320" max="1320" width="0" style="15" hidden="1" customWidth="1"/>
    <col min="1321" max="1536" width="8.6640625" style="15"/>
    <col min="1537" max="1537" width="7.6640625" style="15" customWidth="1"/>
    <col min="1538" max="1538" width="9.6640625" style="15" customWidth="1"/>
    <col min="1539" max="1539" width="3.77734375" style="15" customWidth="1"/>
    <col min="1540" max="1540" width="5.77734375" style="15" customWidth="1"/>
    <col min="1541" max="1541" width="5.21875" style="15" customWidth="1"/>
    <col min="1542" max="1542" width="3.21875" style="15" customWidth="1"/>
    <col min="1543" max="1543" width="3.44140625" style="15" customWidth="1"/>
    <col min="1544" max="1548" width="7.21875" style="15" customWidth="1"/>
    <col min="1549" max="1549" width="23.21875" style="15" customWidth="1"/>
    <col min="1550" max="1551" width="5.21875" style="15" customWidth="1"/>
    <col min="1552" max="1552" width="9.77734375" style="15" customWidth="1"/>
    <col min="1553" max="1553" width="8.44140625" style="15" customWidth="1"/>
    <col min="1554" max="1556" width="7.6640625" style="15" customWidth="1"/>
    <col min="1557" max="1557" width="14.21875" style="15" bestFit="1" customWidth="1"/>
    <col min="1558" max="1558" width="30.77734375" style="15" customWidth="1"/>
    <col min="1559" max="1575" width="5" style="15" customWidth="1"/>
    <col min="1576" max="1576" width="0" style="15" hidden="1" customWidth="1"/>
    <col min="1577" max="1792" width="8.6640625" style="15"/>
    <col min="1793" max="1793" width="7.6640625" style="15" customWidth="1"/>
    <col min="1794" max="1794" width="9.6640625" style="15" customWidth="1"/>
    <col min="1795" max="1795" width="3.77734375" style="15" customWidth="1"/>
    <col min="1796" max="1796" width="5.77734375" style="15" customWidth="1"/>
    <col min="1797" max="1797" width="5.21875" style="15" customWidth="1"/>
    <col min="1798" max="1798" width="3.21875" style="15" customWidth="1"/>
    <col min="1799" max="1799" width="3.44140625" style="15" customWidth="1"/>
    <col min="1800" max="1804" width="7.21875" style="15" customWidth="1"/>
    <col min="1805" max="1805" width="23.21875" style="15" customWidth="1"/>
    <col min="1806" max="1807" width="5.21875" style="15" customWidth="1"/>
    <col min="1808" max="1808" width="9.77734375" style="15" customWidth="1"/>
    <col min="1809" max="1809" width="8.44140625" style="15" customWidth="1"/>
    <col min="1810" max="1812" width="7.6640625" style="15" customWidth="1"/>
    <col min="1813" max="1813" width="14.21875" style="15" bestFit="1" customWidth="1"/>
    <col min="1814" max="1814" width="30.77734375" style="15" customWidth="1"/>
    <col min="1815" max="1831" width="5" style="15" customWidth="1"/>
    <col min="1832" max="1832" width="0" style="15" hidden="1" customWidth="1"/>
    <col min="1833" max="2048" width="8.6640625" style="15"/>
    <col min="2049" max="2049" width="7.6640625" style="15" customWidth="1"/>
    <col min="2050" max="2050" width="9.6640625" style="15" customWidth="1"/>
    <col min="2051" max="2051" width="3.77734375" style="15" customWidth="1"/>
    <col min="2052" max="2052" width="5.77734375" style="15" customWidth="1"/>
    <col min="2053" max="2053" width="5.21875" style="15" customWidth="1"/>
    <col min="2054" max="2054" width="3.21875" style="15" customWidth="1"/>
    <col min="2055" max="2055" width="3.44140625" style="15" customWidth="1"/>
    <col min="2056" max="2060" width="7.21875" style="15" customWidth="1"/>
    <col min="2061" max="2061" width="23.21875" style="15" customWidth="1"/>
    <col min="2062" max="2063" width="5.21875" style="15" customWidth="1"/>
    <col min="2064" max="2064" width="9.77734375" style="15" customWidth="1"/>
    <col min="2065" max="2065" width="8.44140625" style="15" customWidth="1"/>
    <col min="2066" max="2068" width="7.6640625" style="15" customWidth="1"/>
    <col min="2069" max="2069" width="14.21875" style="15" bestFit="1" customWidth="1"/>
    <col min="2070" max="2070" width="30.77734375" style="15" customWidth="1"/>
    <col min="2071" max="2087" width="5" style="15" customWidth="1"/>
    <col min="2088" max="2088" width="0" style="15" hidden="1" customWidth="1"/>
    <col min="2089" max="2304" width="8.6640625" style="15"/>
    <col min="2305" max="2305" width="7.6640625" style="15" customWidth="1"/>
    <col min="2306" max="2306" width="9.6640625" style="15" customWidth="1"/>
    <col min="2307" max="2307" width="3.77734375" style="15" customWidth="1"/>
    <col min="2308" max="2308" width="5.77734375" style="15" customWidth="1"/>
    <col min="2309" max="2309" width="5.21875" style="15" customWidth="1"/>
    <col min="2310" max="2310" width="3.21875" style="15" customWidth="1"/>
    <col min="2311" max="2311" width="3.44140625" style="15" customWidth="1"/>
    <col min="2312" max="2316" width="7.21875" style="15" customWidth="1"/>
    <col min="2317" max="2317" width="23.21875" style="15" customWidth="1"/>
    <col min="2318" max="2319" width="5.21875" style="15" customWidth="1"/>
    <col min="2320" max="2320" width="9.77734375" style="15" customWidth="1"/>
    <col min="2321" max="2321" width="8.44140625" style="15" customWidth="1"/>
    <col min="2322" max="2324" width="7.6640625" style="15" customWidth="1"/>
    <col min="2325" max="2325" width="14.21875" style="15" bestFit="1" customWidth="1"/>
    <col min="2326" max="2326" width="30.77734375" style="15" customWidth="1"/>
    <col min="2327" max="2343" width="5" style="15" customWidth="1"/>
    <col min="2344" max="2344" width="0" style="15" hidden="1" customWidth="1"/>
    <col min="2345" max="2560" width="8.6640625" style="15"/>
    <col min="2561" max="2561" width="7.6640625" style="15" customWidth="1"/>
    <col min="2562" max="2562" width="9.6640625" style="15" customWidth="1"/>
    <col min="2563" max="2563" width="3.77734375" style="15" customWidth="1"/>
    <col min="2564" max="2564" width="5.77734375" style="15" customWidth="1"/>
    <col min="2565" max="2565" width="5.21875" style="15" customWidth="1"/>
    <col min="2566" max="2566" width="3.21875" style="15" customWidth="1"/>
    <col min="2567" max="2567" width="3.44140625" style="15" customWidth="1"/>
    <col min="2568" max="2572" width="7.21875" style="15" customWidth="1"/>
    <col min="2573" max="2573" width="23.21875" style="15" customWidth="1"/>
    <col min="2574" max="2575" width="5.21875" style="15" customWidth="1"/>
    <col min="2576" max="2576" width="9.77734375" style="15" customWidth="1"/>
    <col min="2577" max="2577" width="8.44140625" style="15" customWidth="1"/>
    <col min="2578" max="2580" width="7.6640625" style="15" customWidth="1"/>
    <col min="2581" max="2581" width="14.21875" style="15" bestFit="1" customWidth="1"/>
    <col min="2582" max="2582" width="30.77734375" style="15" customWidth="1"/>
    <col min="2583" max="2599" width="5" style="15" customWidth="1"/>
    <col min="2600" max="2600" width="0" style="15" hidden="1" customWidth="1"/>
    <col min="2601" max="2816" width="8.6640625" style="15"/>
    <col min="2817" max="2817" width="7.6640625" style="15" customWidth="1"/>
    <col min="2818" max="2818" width="9.6640625" style="15" customWidth="1"/>
    <col min="2819" max="2819" width="3.77734375" style="15" customWidth="1"/>
    <col min="2820" max="2820" width="5.77734375" style="15" customWidth="1"/>
    <col min="2821" max="2821" width="5.21875" style="15" customWidth="1"/>
    <col min="2822" max="2822" width="3.21875" style="15" customWidth="1"/>
    <col min="2823" max="2823" width="3.44140625" style="15" customWidth="1"/>
    <col min="2824" max="2828" width="7.21875" style="15" customWidth="1"/>
    <col min="2829" max="2829" width="23.21875" style="15" customWidth="1"/>
    <col min="2830" max="2831" width="5.21875" style="15" customWidth="1"/>
    <col min="2832" max="2832" width="9.77734375" style="15" customWidth="1"/>
    <col min="2833" max="2833" width="8.44140625" style="15" customWidth="1"/>
    <col min="2834" max="2836" width="7.6640625" style="15" customWidth="1"/>
    <col min="2837" max="2837" width="14.21875" style="15" bestFit="1" customWidth="1"/>
    <col min="2838" max="2838" width="30.77734375" style="15" customWidth="1"/>
    <col min="2839" max="2855" width="5" style="15" customWidth="1"/>
    <col min="2856" max="2856" width="0" style="15" hidden="1" customWidth="1"/>
    <col min="2857" max="3072" width="8.6640625" style="15"/>
    <col min="3073" max="3073" width="7.6640625" style="15" customWidth="1"/>
    <col min="3074" max="3074" width="9.6640625" style="15" customWidth="1"/>
    <col min="3075" max="3075" width="3.77734375" style="15" customWidth="1"/>
    <col min="3076" max="3076" width="5.77734375" style="15" customWidth="1"/>
    <col min="3077" max="3077" width="5.21875" style="15" customWidth="1"/>
    <col min="3078" max="3078" width="3.21875" style="15" customWidth="1"/>
    <col min="3079" max="3079" width="3.44140625" style="15" customWidth="1"/>
    <col min="3080" max="3084" width="7.21875" style="15" customWidth="1"/>
    <col min="3085" max="3085" width="23.21875" style="15" customWidth="1"/>
    <col min="3086" max="3087" width="5.21875" style="15" customWidth="1"/>
    <col min="3088" max="3088" width="9.77734375" style="15" customWidth="1"/>
    <col min="3089" max="3089" width="8.44140625" style="15" customWidth="1"/>
    <col min="3090" max="3092" width="7.6640625" style="15" customWidth="1"/>
    <col min="3093" max="3093" width="14.21875" style="15" bestFit="1" customWidth="1"/>
    <col min="3094" max="3094" width="30.77734375" style="15" customWidth="1"/>
    <col min="3095" max="3111" width="5" style="15" customWidth="1"/>
    <col min="3112" max="3112" width="0" style="15" hidden="1" customWidth="1"/>
    <col min="3113" max="3328" width="8.6640625" style="15"/>
    <col min="3329" max="3329" width="7.6640625" style="15" customWidth="1"/>
    <col min="3330" max="3330" width="9.6640625" style="15" customWidth="1"/>
    <col min="3331" max="3331" width="3.77734375" style="15" customWidth="1"/>
    <col min="3332" max="3332" width="5.77734375" style="15" customWidth="1"/>
    <col min="3333" max="3333" width="5.21875" style="15" customWidth="1"/>
    <col min="3334" max="3334" width="3.21875" style="15" customWidth="1"/>
    <col min="3335" max="3335" width="3.44140625" style="15" customWidth="1"/>
    <col min="3336" max="3340" width="7.21875" style="15" customWidth="1"/>
    <col min="3341" max="3341" width="23.21875" style="15" customWidth="1"/>
    <col min="3342" max="3343" width="5.21875" style="15" customWidth="1"/>
    <col min="3344" max="3344" width="9.77734375" style="15" customWidth="1"/>
    <col min="3345" max="3345" width="8.44140625" style="15" customWidth="1"/>
    <col min="3346" max="3348" width="7.6640625" style="15" customWidth="1"/>
    <col min="3349" max="3349" width="14.21875" style="15" bestFit="1" customWidth="1"/>
    <col min="3350" max="3350" width="30.77734375" style="15" customWidth="1"/>
    <col min="3351" max="3367" width="5" style="15" customWidth="1"/>
    <col min="3368" max="3368" width="0" style="15" hidden="1" customWidth="1"/>
    <col min="3369" max="3584" width="8.6640625" style="15"/>
    <col min="3585" max="3585" width="7.6640625" style="15" customWidth="1"/>
    <col min="3586" max="3586" width="9.6640625" style="15" customWidth="1"/>
    <col min="3587" max="3587" width="3.77734375" style="15" customWidth="1"/>
    <col min="3588" max="3588" width="5.77734375" style="15" customWidth="1"/>
    <col min="3589" max="3589" width="5.21875" style="15" customWidth="1"/>
    <col min="3590" max="3590" width="3.21875" style="15" customWidth="1"/>
    <col min="3591" max="3591" width="3.44140625" style="15" customWidth="1"/>
    <col min="3592" max="3596" width="7.21875" style="15" customWidth="1"/>
    <col min="3597" max="3597" width="23.21875" style="15" customWidth="1"/>
    <col min="3598" max="3599" width="5.21875" style="15" customWidth="1"/>
    <col min="3600" max="3600" width="9.77734375" style="15" customWidth="1"/>
    <col min="3601" max="3601" width="8.44140625" style="15" customWidth="1"/>
    <col min="3602" max="3604" width="7.6640625" style="15" customWidth="1"/>
    <col min="3605" max="3605" width="14.21875" style="15" bestFit="1" customWidth="1"/>
    <col min="3606" max="3606" width="30.77734375" style="15" customWidth="1"/>
    <col min="3607" max="3623" width="5" style="15" customWidth="1"/>
    <col min="3624" max="3624" width="0" style="15" hidden="1" customWidth="1"/>
    <col min="3625" max="3840" width="8.6640625" style="15"/>
    <col min="3841" max="3841" width="7.6640625" style="15" customWidth="1"/>
    <col min="3842" max="3842" width="9.6640625" style="15" customWidth="1"/>
    <col min="3843" max="3843" width="3.77734375" style="15" customWidth="1"/>
    <col min="3844" max="3844" width="5.77734375" style="15" customWidth="1"/>
    <col min="3845" max="3845" width="5.21875" style="15" customWidth="1"/>
    <col min="3846" max="3846" width="3.21875" style="15" customWidth="1"/>
    <col min="3847" max="3847" width="3.44140625" style="15" customWidth="1"/>
    <col min="3848" max="3852" width="7.21875" style="15" customWidth="1"/>
    <col min="3853" max="3853" width="23.21875" style="15" customWidth="1"/>
    <col min="3854" max="3855" width="5.21875" style="15" customWidth="1"/>
    <col min="3856" max="3856" width="9.77734375" style="15" customWidth="1"/>
    <col min="3857" max="3857" width="8.44140625" style="15" customWidth="1"/>
    <col min="3858" max="3860" width="7.6640625" style="15" customWidth="1"/>
    <col min="3861" max="3861" width="14.21875" style="15" bestFit="1" customWidth="1"/>
    <col min="3862" max="3862" width="30.77734375" style="15" customWidth="1"/>
    <col min="3863" max="3879" width="5" style="15" customWidth="1"/>
    <col min="3880" max="3880" width="0" style="15" hidden="1" customWidth="1"/>
    <col min="3881" max="4096" width="8.6640625" style="15"/>
    <col min="4097" max="4097" width="7.6640625" style="15" customWidth="1"/>
    <col min="4098" max="4098" width="9.6640625" style="15" customWidth="1"/>
    <col min="4099" max="4099" width="3.77734375" style="15" customWidth="1"/>
    <col min="4100" max="4100" width="5.77734375" style="15" customWidth="1"/>
    <col min="4101" max="4101" width="5.21875" style="15" customWidth="1"/>
    <col min="4102" max="4102" width="3.21875" style="15" customWidth="1"/>
    <col min="4103" max="4103" width="3.44140625" style="15" customWidth="1"/>
    <col min="4104" max="4108" width="7.21875" style="15" customWidth="1"/>
    <col min="4109" max="4109" width="23.21875" style="15" customWidth="1"/>
    <col min="4110" max="4111" width="5.21875" style="15" customWidth="1"/>
    <col min="4112" max="4112" width="9.77734375" style="15" customWidth="1"/>
    <col min="4113" max="4113" width="8.44140625" style="15" customWidth="1"/>
    <col min="4114" max="4116" width="7.6640625" style="15" customWidth="1"/>
    <col min="4117" max="4117" width="14.21875" style="15" bestFit="1" customWidth="1"/>
    <col min="4118" max="4118" width="30.77734375" style="15" customWidth="1"/>
    <col min="4119" max="4135" width="5" style="15" customWidth="1"/>
    <col min="4136" max="4136" width="0" style="15" hidden="1" customWidth="1"/>
    <col min="4137" max="4352" width="8.6640625" style="15"/>
    <col min="4353" max="4353" width="7.6640625" style="15" customWidth="1"/>
    <col min="4354" max="4354" width="9.6640625" style="15" customWidth="1"/>
    <col min="4355" max="4355" width="3.77734375" style="15" customWidth="1"/>
    <col min="4356" max="4356" width="5.77734375" style="15" customWidth="1"/>
    <col min="4357" max="4357" width="5.21875" style="15" customWidth="1"/>
    <col min="4358" max="4358" width="3.21875" style="15" customWidth="1"/>
    <col min="4359" max="4359" width="3.44140625" style="15" customWidth="1"/>
    <col min="4360" max="4364" width="7.21875" style="15" customWidth="1"/>
    <col min="4365" max="4365" width="23.21875" style="15" customWidth="1"/>
    <col min="4366" max="4367" width="5.21875" style="15" customWidth="1"/>
    <col min="4368" max="4368" width="9.77734375" style="15" customWidth="1"/>
    <col min="4369" max="4369" width="8.44140625" style="15" customWidth="1"/>
    <col min="4370" max="4372" width="7.6640625" style="15" customWidth="1"/>
    <col min="4373" max="4373" width="14.21875" style="15" bestFit="1" customWidth="1"/>
    <col min="4374" max="4374" width="30.77734375" style="15" customWidth="1"/>
    <col min="4375" max="4391" width="5" style="15" customWidth="1"/>
    <col min="4392" max="4392" width="0" style="15" hidden="1" customWidth="1"/>
    <col min="4393" max="4608" width="8.6640625" style="15"/>
    <col min="4609" max="4609" width="7.6640625" style="15" customWidth="1"/>
    <col min="4610" max="4610" width="9.6640625" style="15" customWidth="1"/>
    <col min="4611" max="4611" width="3.77734375" style="15" customWidth="1"/>
    <col min="4612" max="4612" width="5.77734375" style="15" customWidth="1"/>
    <col min="4613" max="4613" width="5.21875" style="15" customWidth="1"/>
    <col min="4614" max="4614" width="3.21875" style="15" customWidth="1"/>
    <col min="4615" max="4615" width="3.44140625" style="15" customWidth="1"/>
    <col min="4616" max="4620" width="7.21875" style="15" customWidth="1"/>
    <col min="4621" max="4621" width="23.21875" style="15" customWidth="1"/>
    <col min="4622" max="4623" width="5.21875" style="15" customWidth="1"/>
    <col min="4624" max="4624" width="9.77734375" style="15" customWidth="1"/>
    <col min="4625" max="4625" width="8.44140625" style="15" customWidth="1"/>
    <col min="4626" max="4628" width="7.6640625" style="15" customWidth="1"/>
    <col min="4629" max="4629" width="14.21875" style="15" bestFit="1" customWidth="1"/>
    <col min="4630" max="4630" width="30.77734375" style="15" customWidth="1"/>
    <col min="4631" max="4647" width="5" style="15" customWidth="1"/>
    <col min="4648" max="4648" width="0" style="15" hidden="1" customWidth="1"/>
    <col min="4649" max="4864" width="8.6640625" style="15"/>
    <col min="4865" max="4865" width="7.6640625" style="15" customWidth="1"/>
    <col min="4866" max="4866" width="9.6640625" style="15" customWidth="1"/>
    <col min="4867" max="4867" width="3.77734375" style="15" customWidth="1"/>
    <col min="4868" max="4868" width="5.77734375" style="15" customWidth="1"/>
    <col min="4869" max="4869" width="5.21875" style="15" customWidth="1"/>
    <col min="4870" max="4870" width="3.21875" style="15" customWidth="1"/>
    <col min="4871" max="4871" width="3.44140625" style="15" customWidth="1"/>
    <col min="4872" max="4876" width="7.21875" style="15" customWidth="1"/>
    <col min="4877" max="4877" width="23.21875" style="15" customWidth="1"/>
    <col min="4878" max="4879" width="5.21875" style="15" customWidth="1"/>
    <col min="4880" max="4880" width="9.77734375" style="15" customWidth="1"/>
    <col min="4881" max="4881" width="8.44140625" style="15" customWidth="1"/>
    <col min="4882" max="4884" width="7.6640625" style="15" customWidth="1"/>
    <col min="4885" max="4885" width="14.21875" style="15" bestFit="1" customWidth="1"/>
    <col min="4886" max="4886" width="30.77734375" style="15" customWidth="1"/>
    <col min="4887" max="4903" width="5" style="15" customWidth="1"/>
    <col min="4904" max="4904" width="0" style="15" hidden="1" customWidth="1"/>
    <col min="4905" max="5120" width="8.6640625" style="15"/>
    <col min="5121" max="5121" width="7.6640625" style="15" customWidth="1"/>
    <col min="5122" max="5122" width="9.6640625" style="15" customWidth="1"/>
    <col min="5123" max="5123" width="3.77734375" style="15" customWidth="1"/>
    <col min="5124" max="5124" width="5.77734375" style="15" customWidth="1"/>
    <col min="5125" max="5125" width="5.21875" style="15" customWidth="1"/>
    <col min="5126" max="5126" width="3.21875" style="15" customWidth="1"/>
    <col min="5127" max="5127" width="3.44140625" style="15" customWidth="1"/>
    <col min="5128" max="5132" width="7.21875" style="15" customWidth="1"/>
    <col min="5133" max="5133" width="23.21875" style="15" customWidth="1"/>
    <col min="5134" max="5135" width="5.21875" style="15" customWidth="1"/>
    <col min="5136" max="5136" width="9.77734375" style="15" customWidth="1"/>
    <col min="5137" max="5137" width="8.44140625" style="15" customWidth="1"/>
    <col min="5138" max="5140" width="7.6640625" style="15" customWidth="1"/>
    <col min="5141" max="5141" width="14.21875" style="15" bestFit="1" customWidth="1"/>
    <col min="5142" max="5142" width="30.77734375" style="15" customWidth="1"/>
    <col min="5143" max="5159" width="5" style="15" customWidth="1"/>
    <col min="5160" max="5160" width="0" style="15" hidden="1" customWidth="1"/>
    <col min="5161" max="5376" width="8.6640625" style="15"/>
    <col min="5377" max="5377" width="7.6640625" style="15" customWidth="1"/>
    <col min="5378" max="5378" width="9.6640625" style="15" customWidth="1"/>
    <col min="5379" max="5379" width="3.77734375" style="15" customWidth="1"/>
    <col min="5380" max="5380" width="5.77734375" style="15" customWidth="1"/>
    <col min="5381" max="5381" width="5.21875" style="15" customWidth="1"/>
    <col min="5382" max="5382" width="3.21875" style="15" customWidth="1"/>
    <col min="5383" max="5383" width="3.44140625" style="15" customWidth="1"/>
    <col min="5384" max="5388" width="7.21875" style="15" customWidth="1"/>
    <col min="5389" max="5389" width="23.21875" style="15" customWidth="1"/>
    <col min="5390" max="5391" width="5.21875" style="15" customWidth="1"/>
    <col min="5392" max="5392" width="9.77734375" style="15" customWidth="1"/>
    <col min="5393" max="5393" width="8.44140625" style="15" customWidth="1"/>
    <col min="5394" max="5396" width="7.6640625" style="15" customWidth="1"/>
    <col min="5397" max="5397" width="14.21875" style="15" bestFit="1" customWidth="1"/>
    <col min="5398" max="5398" width="30.77734375" style="15" customWidth="1"/>
    <col min="5399" max="5415" width="5" style="15" customWidth="1"/>
    <col min="5416" max="5416" width="0" style="15" hidden="1" customWidth="1"/>
    <col min="5417" max="5632" width="8.6640625" style="15"/>
    <col min="5633" max="5633" width="7.6640625" style="15" customWidth="1"/>
    <col min="5634" max="5634" width="9.6640625" style="15" customWidth="1"/>
    <col min="5635" max="5635" width="3.77734375" style="15" customWidth="1"/>
    <col min="5636" max="5636" width="5.77734375" style="15" customWidth="1"/>
    <col min="5637" max="5637" width="5.21875" style="15" customWidth="1"/>
    <col min="5638" max="5638" width="3.21875" style="15" customWidth="1"/>
    <col min="5639" max="5639" width="3.44140625" style="15" customWidth="1"/>
    <col min="5640" max="5644" width="7.21875" style="15" customWidth="1"/>
    <col min="5645" max="5645" width="23.21875" style="15" customWidth="1"/>
    <col min="5646" max="5647" width="5.21875" style="15" customWidth="1"/>
    <col min="5648" max="5648" width="9.77734375" style="15" customWidth="1"/>
    <col min="5649" max="5649" width="8.44140625" style="15" customWidth="1"/>
    <col min="5650" max="5652" width="7.6640625" style="15" customWidth="1"/>
    <col min="5653" max="5653" width="14.21875" style="15" bestFit="1" customWidth="1"/>
    <col min="5654" max="5654" width="30.77734375" style="15" customWidth="1"/>
    <col min="5655" max="5671" width="5" style="15" customWidth="1"/>
    <col min="5672" max="5672" width="0" style="15" hidden="1" customWidth="1"/>
    <col min="5673" max="5888" width="8.6640625" style="15"/>
    <col min="5889" max="5889" width="7.6640625" style="15" customWidth="1"/>
    <col min="5890" max="5890" width="9.6640625" style="15" customWidth="1"/>
    <col min="5891" max="5891" width="3.77734375" style="15" customWidth="1"/>
    <col min="5892" max="5892" width="5.77734375" style="15" customWidth="1"/>
    <col min="5893" max="5893" width="5.21875" style="15" customWidth="1"/>
    <col min="5894" max="5894" width="3.21875" style="15" customWidth="1"/>
    <col min="5895" max="5895" width="3.44140625" style="15" customWidth="1"/>
    <col min="5896" max="5900" width="7.21875" style="15" customWidth="1"/>
    <col min="5901" max="5901" width="23.21875" style="15" customWidth="1"/>
    <col min="5902" max="5903" width="5.21875" style="15" customWidth="1"/>
    <col min="5904" max="5904" width="9.77734375" style="15" customWidth="1"/>
    <col min="5905" max="5905" width="8.44140625" style="15" customWidth="1"/>
    <col min="5906" max="5908" width="7.6640625" style="15" customWidth="1"/>
    <col min="5909" max="5909" width="14.21875" style="15" bestFit="1" customWidth="1"/>
    <col min="5910" max="5910" width="30.77734375" style="15" customWidth="1"/>
    <col min="5911" max="5927" width="5" style="15" customWidth="1"/>
    <col min="5928" max="5928" width="0" style="15" hidden="1" customWidth="1"/>
    <col min="5929" max="6144" width="8.6640625" style="15"/>
    <col min="6145" max="6145" width="7.6640625" style="15" customWidth="1"/>
    <col min="6146" max="6146" width="9.6640625" style="15" customWidth="1"/>
    <col min="6147" max="6147" width="3.77734375" style="15" customWidth="1"/>
    <col min="6148" max="6148" width="5.77734375" style="15" customWidth="1"/>
    <col min="6149" max="6149" width="5.21875" style="15" customWidth="1"/>
    <col min="6150" max="6150" width="3.21875" style="15" customWidth="1"/>
    <col min="6151" max="6151" width="3.44140625" style="15" customWidth="1"/>
    <col min="6152" max="6156" width="7.21875" style="15" customWidth="1"/>
    <col min="6157" max="6157" width="23.21875" style="15" customWidth="1"/>
    <col min="6158" max="6159" width="5.21875" style="15" customWidth="1"/>
    <col min="6160" max="6160" width="9.77734375" style="15" customWidth="1"/>
    <col min="6161" max="6161" width="8.44140625" style="15" customWidth="1"/>
    <col min="6162" max="6164" width="7.6640625" style="15" customWidth="1"/>
    <col min="6165" max="6165" width="14.21875" style="15" bestFit="1" customWidth="1"/>
    <col min="6166" max="6166" width="30.77734375" style="15" customWidth="1"/>
    <col min="6167" max="6183" width="5" style="15" customWidth="1"/>
    <col min="6184" max="6184" width="0" style="15" hidden="1" customWidth="1"/>
    <col min="6185" max="6400" width="8.6640625" style="15"/>
    <col min="6401" max="6401" width="7.6640625" style="15" customWidth="1"/>
    <col min="6402" max="6402" width="9.6640625" style="15" customWidth="1"/>
    <col min="6403" max="6403" width="3.77734375" style="15" customWidth="1"/>
    <col min="6404" max="6404" width="5.77734375" style="15" customWidth="1"/>
    <col min="6405" max="6405" width="5.21875" style="15" customWidth="1"/>
    <col min="6406" max="6406" width="3.21875" style="15" customWidth="1"/>
    <col min="6407" max="6407" width="3.44140625" style="15" customWidth="1"/>
    <col min="6408" max="6412" width="7.21875" style="15" customWidth="1"/>
    <col min="6413" max="6413" width="23.21875" style="15" customWidth="1"/>
    <col min="6414" max="6415" width="5.21875" style="15" customWidth="1"/>
    <col min="6416" max="6416" width="9.77734375" style="15" customWidth="1"/>
    <col min="6417" max="6417" width="8.44140625" style="15" customWidth="1"/>
    <col min="6418" max="6420" width="7.6640625" style="15" customWidth="1"/>
    <col min="6421" max="6421" width="14.21875" style="15" bestFit="1" customWidth="1"/>
    <col min="6422" max="6422" width="30.77734375" style="15" customWidth="1"/>
    <col min="6423" max="6439" width="5" style="15" customWidth="1"/>
    <col min="6440" max="6440" width="0" style="15" hidden="1" customWidth="1"/>
    <col min="6441" max="6656" width="8.6640625" style="15"/>
    <col min="6657" max="6657" width="7.6640625" style="15" customWidth="1"/>
    <col min="6658" max="6658" width="9.6640625" style="15" customWidth="1"/>
    <col min="6659" max="6659" width="3.77734375" style="15" customWidth="1"/>
    <col min="6660" max="6660" width="5.77734375" style="15" customWidth="1"/>
    <col min="6661" max="6661" width="5.21875" style="15" customWidth="1"/>
    <col min="6662" max="6662" width="3.21875" style="15" customWidth="1"/>
    <col min="6663" max="6663" width="3.44140625" style="15" customWidth="1"/>
    <col min="6664" max="6668" width="7.21875" style="15" customWidth="1"/>
    <col min="6669" max="6669" width="23.21875" style="15" customWidth="1"/>
    <col min="6670" max="6671" width="5.21875" style="15" customWidth="1"/>
    <col min="6672" max="6672" width="9.77734375" style="15" customWidth="1"/>
    <col min="6673" max="6673" width="8.44140625" style="15" customWidth="1"/>
    <col min="6674" max="6676" width="7.6640625" style="15" customWidth="1"/>
    <col min="6677" max="6677" width="14.21875" style="15" bestFit="1" customWidth="1"/>
    <col min="6678" max="6678" width="30.77734375" style="15" customWidth="1"/>
    <col min="6679" max="6695" width="5" style="15" customWidth="1"/>
    <col min="6696" max="6696" width="0" style="15" hidden="1" customWidth="1"/>
    <col min="6697" max="6912" width="8.6640625" style="15"/>
    <col min="6913" max="6913" width="7.6640625" style="15" customWidth="1"/>
    <col min="6914" max="6914" width="9.6640625" style="15" customWidth="1"/>
    <col min="6915" max="6915" width="3.77734375" style="15" customWidth="1"/>
    <col min="6916" max="6916" width="5.77734375" style="15" customWidth="1"/>
    <col min="6917" max="6917" width="5.21875" style="15" customWidth="1"/>
    <col min="6918" max="6918" width="3.21875" style="15" customWidth="1"/>
    <col min="6919" max="6919" width="3.44140625" style="15" customWidth="1"/>
    <col min="6920" max="6924" width="7.21875" style="15" customWidth="1"/>
    <col min="6925" max="6925" width="23.21875" style="15" customWidth="1"/>
    <col min="6926" max="6927" width="5.21875" style="15" customWidth="1"/>
    <col min="6928" max="6928" width="9.77734375" style="15" customWidth="1"/>
    <col min="6929" max="6929" width="8.44140625" style="15" customWidth="1"/>
    <col min="6930" max="6932" width="7.6640625" style="15" customWidth="1"/>
    <col min="6933" max="6933" width="14.21875" style="15" bestFit="1" customWidth="1"/>
    <col min="6934" max="6934" width="30.77734375" style="15" customWidth="1"/>
    <col min="6935" max="6951" width="5" style="15" customWidth="1"/>
    <col min="6952" max="6952" width="0" style="15" hidden="1" customWidth="1"/>
    <col min="6953" max="7168" width="8.6640625" style="15"/>
    <col min="7169" max="7169" width="7.6640625" style="15" customWidth="1"/>
    <col min="7170" max="7170" width="9.6640625" style="15" customWidth="1"/>
    <col min="7171" max="7171" width="3.77734375" style="15" customWidth="1"/>
    <col min="7172" max="7172" width="5.77734375" style="15" customWidth="1"/>
    <col min="7173" max="7173" width="5.21875" style="15" customWidth="1"/>
    <col min="7174" max="7174" width="3.21875" style="15" customWidth="1"/>
    <col min="7175" max="7175" width="3.44140625" style="15" customWidth="1"/>
    <col min="7176" max="7180" width="7.21875" style="15" customWidth="1"/>
    <col min="7181" max="7181" width="23.21875" style="15" customWidth="1"/>
    <col min="7182" max="7183" width="5.21875" style="15" customWidth="1"/>
    <col min="7184" max="7184" width="9.77734375" style="15" customWidth="1"/>
    <col min="7185" max="7185" width="8.44140625" style="15" customWidth="1"/>
    <col min="7186" max="7188" width="7.6640625" style="15" customWidth="1"/>
    <col min="7189" max="7189" width="14.21875" style="15" bestFit="1" customWidth="1"/>
    <col min="7190" max="7190" width="30.77734375" style="15" customWidth="1"/>
    <col min="7191" max="7207" width="5" style="15" customWidth="1"/>
    <col min="7208" max="7208" width="0" style="15" hidden="1" customWidth="1"/>
    <col min="7209" max="7424" width="8.6640625" style="15"/>
    <col min="7425" max="7425" width="7.6640625" style="15" customWidth="1"/>
    <col min="7426" max="7426" width="9.6640625" style="15" customWidth="1"/>
    <col min="7427" max="7427" width="3.77734375" style="15" customWidth="1"/>
    <col min="7428" max="7428" width="5.77734375" style="15" customWidth="1"/>
    <col min="7429" max="7429" width="5.21875" style="15" customWidth="1"/>
    <col min="7430" max="7430" width="3.21875" style="15" customWidth="1"/>
    <col min="7431" max="7431" width="3.44140625" style="15" customWidth="1"/>
    <col min="7432" max="7436" width="7.21875" style="15" customWidth="1"/>
    <col min="7437" max="7437" width="23.21875" style="15" customWidth="1"/>
    <col min="7438" max="7439" width="5.21875" style="15" customWidth="1"/>
    <col min="7440" max="7440" width="9.77734375" style="15" customWidth="1"/>
    <col min="7441" max="7441" width="8.44140625" style="15" customWidth="1"/>
    <col min="7442" max="7444" width="7.6640625" style="15" customWidth="1"/>
    <col min="7445" max="7445" width="14.21875" style="15" bestFit="1" customWidth="1"/>
    <col min="7446" max="7446" width="30.77734375" style="15" customWidth="1"/>
    <col min="7447" max="7463" width="5" style="15" customWidth="1"/>
    <col min="7464" max="7464" width="0" style="15" hidden="1" customWidth="1"/>
    <col min="7465" max="7680" width="8.6640625" style="15"/>
    <col min="7681" max="7681" width="7.6640625" style="15" customWidth="1"/>
    <col min="7682" max="7682" width="9.6640625" style="15" customWidth="1"/>
    <col min="7683" max="7683" width="3.77734375" style="15" customWidth="1"/>
    <col min="7684" max="7684" width="5.77734375" style="15" customWidth="1"/>
    <col min="7685" max="7685" width="5.21875" style="15" customWidth="1"/>
    <col min="7686" max="7686" width="3.21875" style="15" customWidth="1"/>
    <col min="7687" max="7687" width="3.44140625" style="15" customWidth="1"/>
    <col min="7688" max="7692" width="7.21875" style="15" customWidth="1"/>
    <col min="7693" max="7693" width="23.21875" style="15" customWidth="1"/>
    <col min="7694" max="7695" width="5.21875" style="15" customWidth="1"/>
    <col min="7696" max="7696" width="9.77734375" style="15" customWidth="1"/>
    <col min="7697" max="7697" width="8.44140625" style="15" customWidth="1"/>
    <col min="7698" max="7700" width="7.6640625" style="15" customWidth="1"/>
    <col min="7701" max="7701" width="14.21875" style="15" bestFit="1" customWidth="1"/>
    <col min="7702" max="7702" width="30.77734375" style="15" customWidth="1"/>
    <col min="7703" max="7719" width="5" style="15" customWidth="1"/>
    <col min="7720" max="7720" width="0" style="15" hidden="1" customWidth="1"/>
    <col min="7721" max="7936" width="8.6640625" style="15"/>
    <col min="7937" max="7937" width="7.6640625" style="15" customWidth="1"/>
    <col min="7938" max="7938" width="9.6640625" style="15" customWidth="1"/>
    <col min="7939" max="7939" width="3.77734375" style="15" customWidth="1"/>
    <col min="7940" max="7940" width="5.77734375" style="15" customWidth="1"/>
    <col min="7941" max="7941" width="5.21875" style="15" customWidth="1"/>
    <col min="7942" max="7942" width="3.21875" style="15" customWidth="1"/>
    <col min="7943" max="7943" width="3.44140625" style="15" customWidth="1"/>
    <col min="7944" max="7948" width="7.21875" style="15" customWidth="1"/>
    <col min="7949" max="7949" width="23.21875" style="15" customWidth="1"/>
    <col min="7950" max="7951" width="5.21875" style="15" customWidth="1"/>
    <col min="7952" max="7952" width="9.77734375" style="15" customWidth="1"/>
    <col min="7953" max="7953" width="8.44140625" style="15" customWidth="1"/>
    <col min="7954" max="7956" width="7.6640625" style="15" customWidth="1"/>
    <col min="7957" max="7957" width="14.21875" style="15" bestFit="1" customWidth="1"/>
    <col min="7958" max="7958" width="30.77734375" style="15" customWidth="1"/>
    <col min="7959" max="7975" width="5" style="15" customWidth="1"/>
    <col min="7976" max="7976" width="0" style="15" hidden="1" customWidth="1"/>
    <col min="7977" max="8192" width="8.6640625" style="15"/>
    <col min="8193" max="8193" width="7.6640625" style="15" customWidth="1"/>
    <col min="8194" max="8194" width="9.6640625" style="15" customWidth="1"/>
    <col min="8195" max="8195" width="3.77734375" style="15" customWidth="1"/>
    <col min="8196" max="8196" width="5.77734375" style="15" customWidth="1"/>
    <col min="8197" max="8197" width="5.21875" style="15" customWidth="1"/>
    <col min="8198" max="8198" width="3.21875" style="15" customWidth="1"/>
    <col min="8199" max="8199" width="3.44140625" style="15" customWidth="1"/>
    <col min="8200" max="8204" width="7.21875" style="15" customWidth="1"/>
    <col min="8205" max="8205" width="23.21875" style="15" customWidth="1"/>
    <col min="8206" max="8207" width="5.21875" style="15" customWidth="1"/>
    <col min="8208" max="8208" width="9.77734375" style="15" customWidth="1"/>
    <col min="8209" max="8209" width="8.44140625" style="15" customWidth="1"/>
    <col min="8210" max="8212" width="7.6640625" style="15" customWidth="1"/>
    <col min="8213" max="8213" width="14.21875" style="15" bestFit="1" customWidth="1"/>
    <col min="8214" max="8214" width="30.77734375" style="15" customWidth="1"/>
    <col min="8215" max="8231" width="5" style="15" customWidth="1"/>
    <col min="8232" max="8232" width="0" style="15" hidden="1" customWidth="1"/>
    <col min="8233" max="8448" width="8.6640625" style="15"/>
    <col min="8449" max="8449" width="7.6640625" style="15" customWidth="1"/>
    <col min="8450" max="8450" width="9.6640625" style="15" customWidth="1"/>
    <col min="8451" max="8451" width="3.77734375" style="15" customWidth="1"/>
    <col min="8452" max="8452" width="5.77734375" style="15" customWidth="1"/>
    <col min="8453" max="8453" width="5.21875" style="15" customWidth="1"/>
    <col min="8454" max="8454" width="3.21875" style="15" customWidth="1"/>
    <col min="8455" max="8455" width="3.44140625" style="15" customWidth="1"/>
    <col min="8456" max="8460" width="7.21875" style="15" customWidth="1"/>
    <col min="8461" max="8461" width="23.21875" style="15" customWidth="1"/>
    <col min="8462" max="8463" width="5.21875" style="15" customWidth="1"/>
    <col min="8464" max="8464" width="9.77734375" style="15" customWidth="1"/>
    <col min="8465" max="8465" width="8.44140625" style="15" customWidth="1"/>
    <col min="8466" max="8468" width="7.6640625" style="15" customWidth="1"/>
    <col min="8469" max="8469" width="14.21875" style="15" bestFit="1" customWidth="1"/>
    <col min="8470" max="8470" width="30.77734375" style="15" customWidth="1"/>
    <col min="8471" max="8487" width="5" style="15" customWidth="1"/>
    <col min="8488" max="8488" width="0" style="15" hidden="1" customWidth="1"/>
    <col min="8489" max="8704" width="8.6640625" style="15"/>
    <col min="8705" max="8705" width="7.6640625" style="15" customWidth="1"/>
    <col min="8706" max="8706" width="9.6640625" style="15" customWidth="1"/>
    <col min="8707" max="8707" width="3.77734375" style="15" customWidth="1"/>
    <col min="8708" max="8708" width="5.77734375" style="15" customWidth="1"/>
    <col min="8709" max="8709" width="5.21875" style="15" customWidth="1"/>
    <col min="8710" max="8710" width="3.21875" style="15" customWidth="1"/>
    <col min="8711" max="8711" width="3.44140625" style="15" customWidth="1"/>
    <col min="8712" max="8716" width="7.21875" style="15" customWidth="1"/>
    <col min="8717" max="8717" width="23.21875" style="15" customWidth="1"/>
    <col min="8718" max="8719" width="5.21875" style="15" customWidth="1"/>
    <col min="8720" max="8720" width="9.77734375" style="15" customWidth="1"/>
    <col min="8721" max="8721" width="8.44140625" style="15" customWidth="1"/>
    <col min="8722" max="8724" width="7.6640625" style="15" customWidth="1"/>
    <col min="8725" max="8725" width="14.21875" style="15" bestFit="1" customWidth="1"/>
    <col min="8726" max="8726" width="30.77734375" style="15" customWidth="1"/>
    <col min="8727" max="8743" width="5" style="15" customWidth="1"/>
    <col min="8744" max="8744" width="0" style="15" hidden="1" customWidth="1"/>
    <col min="8745" max="8960" width="8.6640625" style="15"/>
    <col min="8961" max="8961" width="7.6640625" style="15" customWidth="1"/>
    <col min="8962" max="8962" width="9.6640625" style="15" customWidth="1"/>
    <col min="8963" max="8963" width="3.77734375" style="15" customWidth="1"/>
    <col min="8964" max="8964" width="5.77734375" style="15" customWidth="1"/>
    <col min="8965" max="8965" width="5.21875" style="15" customWidth="1"/>
    <col min="8966" max="8966" width="3.21875" style="15" customWidth="1"/>
    <col min="8967" max="8967" width="3.44140625" style="15" customWidth="1"/>
    <col min="8968" max="8972" width="7.21875" style="15" customWidth="1"/>
    <col min="8973" max="8973" width="23.21875" style="15" customWidth="1"/>
    <col min="8974" max="8975" width="5.21875" style="15" customWidth="1"/>
    <col min="8976" max="8976" width="9.77734375" style="15" customWidth="1"/>
    <col min="8977" max="8977" width="8.44140625" style="15" customWidth="1"/>
    <col min="8978" max="8980" width="7.6640625" style="15" customWidth="1"/>
    <col min="8981" max="8981" width="14.21875" style="15" bestFit="1" customWidth="1"/>
    <col min="8982" max="8982" width="30.77734375" style="15" customWidth="1"/>
    <col min="8983" max="8999" width="5" style="15" customWidth="1"/>
    <col min="9000" max="9000" width="0" style="15" hidden="1" customWidth="1"/>
    <col min="9001" max="9216" width="8.6640625" style="15"/>
    <col min="9217" max="9217" width="7.6640625" style="15" customWidth="1"/>
    <col min="9218" max="9218" width="9.6640625" style="15" customWidth="1"/>
    <col min="9219" max="9219" width="3.77734375" style="15" customWidth="1"/>
    <col min="9220" max="9220" width="5.77734375" style="15" customWidth="1"/>
    <col min="9221" max="9221" width="5.21875" style="15" customWidth="1"/>
    <col min="9222" max="9222" width="3.21875" style="15" customWidth="1"/>
    <col min="9223" max="9223" width="3.44140625" style="15" customWidth="1"/>
    <col min="9224" max="9228" width="7.21875" style="15" customWidth="1"/>
    <col min="9229" max="9229" width="23.21875" style="15" customWidth="1"/>
    <col min="9230" max="9231" width="5.21875" style="15" customWidth="1"/>
    <col min="9232" max="9232" width="9.77734375" style="15" customWidth="1"/>
    <col min="9233" max="9233" width="8.44140625" style="15" customWidth="1"/>
    <col min="9234" max="9236" width="7.6640625" style="15" customWidth="1"/>
    <col min="9237" max="9237" width="14.21875" style="15" bestFit="1" customWidth="1"/>
    <col min="9238" max="9238" width="30.77734375" style="15" customWidth="1"/>
    <col min="9239" max="9255" width="5" style="15" customWidth="1"/>
    <col min="9256" max="9256" width="0" style="15" hidden="1" customWidth="1"/>
    <col min="9257" max="9472" width="8.6640625" style="15"/>
    <col min="9473" max="9473" width="7.6640625" style="15" customWidth="1"/>
    <col min="9474" max="9474" width="9.6640625" style="15" customWidth="1"/>
    <col min="9475" max="9475" width="3.77734375" style="15" customWidth="1"/>
    <col min="9476" max="9476" width="5.77734375" style="15" customWidth="1"/>
    <col min="9477" max="9477" width="5.21875" style="15" customWidth="1"/>
    <col min="9478" max="9478" width="3.21875" style="15" customWidth="1"/>
    <col min="9479" max="9479" width="3.44140625" style="15" customWidth="1"/>
    <col min="9480" max="9484" width="7.21875" style="15" customWidth="1"/>
    <col min="9485" max="9485" width="23.21875" style="15" customWidth="1"/>
    <col min="9486" max="9487" width="5.21875" style="15" customWidth="1"/>
    <col min="9488" max="9488" width="9.77734375" style="15" customWidth="1"/>
    <col min="9489" max="9489" width="8.44140625" style="15" customWidth="1"/>
    <col min="9490" max="9492" width="7.6640625" style="15" customWidth="1"/>
    <col min="9493" max="9493" width="14.21875" style="15" bestFit="1" customWidth="1"/>
    <col min="9494" max="9494" width="30.77734375" style="15" customWidth="1"/>
    <col min="9495" max="9511" width="5" style="15" customWidth="1"/>
    <col min="9512" max="9512" width="0" style="15" hidden="1" customWidth="1"/>
    <col min="9513" max="9728" width="8.6640625" style="15"/>
    <col min="9729" max="9729" width="7.6640625" style="15" customWidth="1"/>
    <col min="9730" max="9730" width="9.6640625" style="15" customWidth="1"/>
    <col min="9731" max="9731" width="3.77734375" style="15" customWidth="1"/>
    <col min="9732" max="9732" width="5.77734375" style="15" customWidth="1"/>
    <col min="9733" max="9733" width="5.21875" style="15" customWidth="1"/>
    <col min="9734" max="9734" width="3.21875" style="15" customWidth="1"/>
    <col min="9735" max="9735" width="3.44140625" style="15" customWidth="1"/>
    <col min="9736" max="9740" width="7.21875" style="15" customWidth="1"/>
    <col min="9741" max="9741" width="23.21875" style="15" customWidth="1"/>
    <col min="9742" max="9743" width="5.21875" style="15" customWidth="1"/>
    <col min="9744" max="9744" width="9.77734375" style="15" customWidth="1"/>
    <col min="9745" max="9745" width="8.44140625" style="15" customWidth="1"/>
    <col min="9746" max="9748" width="7.6640625" style="15" customWidth="1"/>
    <col min="9749" max="9749" width="14.21875" style="15" bestFit="1" customWidth="1"/>
    <col min="9750" max="9750" width="30.77734375" style="15" customWidth="1"/>
    <col min="9751" max="9767" width="5" style="15" customWidth="1"/>
    <col min="9768" max="9768" width="0" style="15" hidden="1" customWidth="1"/>
    <col min="9769" max="9984" width="8.6640625" style="15"/>
    <col min="9985" max="9985" width="7.6640625" style="15" customWidth="1"/>
    <col min="9986" max="9986" width="9.6640625" style="15" customWidth="1"/>
    <col min="9987" max="9987" width="3.77734375" style="15" customWidth="1"/>
    <col min="9988" max="9988" width="5.77734375" style="15" customWidth="1"/>
    <col min="9989" max="9989" width="5.21875" style="15" customWidth="1"/>
    <col min="9990" max="9990" width="3.21875" style="15" customWidth="1"/>
    <col min="9991" max="9991" width="3.44140625" style="15" customWidth="1"/>
    <col min="9992" max="9996" width="7.21875" style="15" customWidth="1"/>
    <col min="9997" max="9997" width="23.21875" style="15" customWidth="1"/>
    <col min="9998" max="9999" width="5.21875" style="15" customWidth="1"/>
    <col min="10000" max="10000" width="9.77734375" style="15" customWidth="1"/>
    <col min="10001" max="10001" width="8.44140625" style="15" customWidth="1"/>
    <col min="10002" max="10004" width="7.6640625" style="15" customWidth="1"/>
    <col min="10005" max="10005" width="14.21875" style="15" bestFit="1" customWidth="1"/>
    <col min="10006" max="10006" width="30.77734375" style="15" customWidth="1"/>
    <col min="10007" max="10023" width="5" style="15" customWidth="1"/>
    <col min="10024" max="10024" width="0" style="15" hidden="1" customWidth="1"/>
    <col min="10025" max="10240" width="8.6640625" style="15"/>
    <col min="10241" max="10241" width="7.6640625" style="15" customWidth="1"/>
    <col min="10242" max="10242" width="9.6640625" style="15" customWidth="1"/>
    <col min="10243" max="10243" width="3.77734375" style="15" customWidth="1"/>
    <col min="10244" max="10244" width="5.77734375" style="15" customWidth="1"/>
    <col min="10245" max="10245" width="5.21875" style="15" customWidth="1"/>
    <col min="10246" max="10246" width="3.21875" style="15" customWidth="1"/>
    <col min="10247" max="10247" width="3.44140625" style="15" customWidth="1"/>
    <col min="10248" max="10252" width="7.21875" style="15" customWidth="1"/>
    <col min="10253" max="10253" width="23.21875" style="15" customWidth="1"/>
    <col min="10254" max="10255" width="5.21875" style="15" customWidth="1"/>
    <col min="10256" max="10256" width="9.77734375" style="15" customWidth="1"/>
    <col min="10257" max="10257" width="8.44140625" style="15" customWidth="1"/>
    <col min="10258" max="10260" width="7.6640625" style="15" customWidth="1"/>
    <col min="10261" max="10261" width="14.21875" style="15" bestFit="1" customWidth="1"/>
    <col min="10262" max="10262" width="30.77734375" style="15" customWidth="1"/>
    <col min="10263" max="10279" width="5" style="15" customWidth="1"/>
    <col min="10280" max="10280" width="0" style="15" hidden="1" customWidth="1"/>
    <col min="10281" max="10496" width="8.6640625" style="15"/>
    <col min="10497" max="10497" width="7.6640625" style="15" customWidth="1"/>
    <col min="10498" max="10498" width="9.6640625" style="15" customWidth="1"/>
    <col min="10499" max="10499" width="3.77734375" style="15" customWidth="1"/>
    <col min="10500" max="10500" width="5.77734375" style="15" customWidth="1"/>
    <col min="10501" max="10501" width="5.21875" style="15" customWidth="1"/>
    <col min="10502" max="10502" width="3.21875" style="15" customWidth="1"/>
    <col min="10503" max="10503" width="3.44140625" style="15" customWidth="1"/>
    <col min="10504" max="10508" width="7.21875" style="15" customWidth="1"/>
    <col min="10509" max="10509" width="23.21875" style="15" customWidth="1"/>
    <col min="10510" max="10511" width="5.21875" style="15" customWidth="1"/>
    <col min="10512" max="10512" width="9.77734375" style="15" customWidth="1"/>
    <col min="10513" max="10513" width="8.44140625" style="15" customWidth="1"/>
    <col min="10514" max="10516" width="7.6640625" style="15" customWidth="1"/>
    <col min="10517" max="10517" width="14.21875" style="15" bestFit="1" customWidth="1"/>
    <col min="10518" max="10518" width="30.77734375" style="15" customWidth="1"/>
    <col min="10519" max="10535" width="5" style="15" customWidth="1"/>
    <col min="10536" max="10536" width="0" style="15" hidden="1" customWidth="1"/>
    <col min="10537" max="10752" width="8.6640625" style="15"/>
    <col min="10753" max="10753" width="7.6640625" style="15" customWidth="1"/>
    <col min="10754" max="10754" width="9.6640625" style="15" customWidth="1"/>
    <col min="10755" max="10755" width="3.77734375" style="15" customWidth="1"/>
    <col min="10756" max="10756" width="5.77734375" style="15" customWidth="1"/>
    <col min="10757" max="10757" width="5.21875" style="15" customWidth="1"/>
    <col min="10758" max="10758" width="3.21875" style="15" customWidth="1"/>
    <col min="10759" max="10759" width="3.44140625" style="15" customWidth="1"/>
    <col min="10760" max="10764" width="7.21875" style="15" customWidth="1"/>
    <col min="10765" max="10765" width="23.21875" style="15" customWidth="1"/>
    <col min="10766" max="10767" width="5.21875" style="15" customWidth="1"/>
    <col min="10768" max="10768" width="9.77734375" style="15" customWidth="1"/>
    <col min="10769" max="10769" width="8.44140625" style="15" customWidth="1"/>
    <col min="10770" max="10772" width="7.6640625" style="15" customWidth="1"/>
    <col min="10773" max="10773" width="14.21875" style="15" bestFit="1" customWidth="1"/>
    <col min="10774" max="10774" width="30.77734375" style="15" customWidth="1"/>
    <col min="10775" max="10791" width="5" style="15" customWidth="1"/>
    <col min="10792" max="10792" width="0" style="15" hidden="1" customWidth="1"/>
    <col min="10793" max="11008" width="8.6640625" style="15"/>
    <col min="11009" max="11009" width="7.6640625" style="15" customWidth="1"/>
    <col min="11010" max="11010" width="9.6640625" style="15" customWidth="1"/>
    <col min="11011" max="11011" width="3.77734375" style="15" customWidth="1"/>
    <col min="11012" max="11012" width="5.77734375" style="15" customWidth="1"/>
    <col min="11013" max="11013" width="5.21875" style="15" customWidth="1"/>
    <col min="11014" max="11014" width="3.21875" style="15" customWidth="1"/>
    <col min="11015" max="11015" width="3.44140625" style="15" customWidth="1"/>
    <col min="11016" max="11020" width="7.21875" style="15" customWidth="1"/>
    <col min="11021" max="11021" width="23.21875" style="15" customWidth="1"/>
    <col min="11022" max="11023" width="5.21875" style="15" customWidth="1"/>
    <col min="11024" max="11024" width="9.77734375" style="15" customWidth="1"/>
    <col min="11025" max="11025" width="8.44140625" style="15" customWidth="1"/>
    <col min="11026" max="11028" width="7.6640625" style="15" customWidth="1"/>
    <col min="11029" max="11029" width="14.21875" style="15" bestFit="1" customWidth="1"/>
    <col min="11030" max="11030" width="30.77734375" style="15" customWidth="1"/>
    <col min="11031" max="11047" width="5" style="15" customWidth="1"/>
    <col min="11048" max="11048" width="0" style="15" hidden="1" customWidth="1"/>
    <col min="11049" max="11264" width="8.6640625" style="15"/>
    <col min="11265" max="11265" width="7.6640625" style="15" customWidth="1"/>
    <col min="11266" max="11266" width="9.6640625" style="15" customWidth="1"/>
    <col min="11267" max="11267" width="3.77734375" style="15" customWidth="1"/>
    <col min="11268" max="11268" width="5.77734375" style="15" customWidth="1"/>
    <col min="11269" max="11269" width="5.21875" style="15" customWidth="1"/>
    <col min="11270" max="11270" width="3.21875" style="15" customWidth="1"/>
    <col min="11271" max="11271" width="3.44140625" style="15" customWidth="1"/>
    <col min="11272" max="11276" width="7.21875" style="15" customWidth="1"/>
    <col min="11277" max="11277" width="23.21875" style="15" customWidth="1"/>
    <col min="11278" max="11279" width="5.21875" style="15" customWidth="1"/>
    <col min="11280" max="11280" width="9.77734375" style="15" customWidth="1"/>
    <col min="11281" max="11281" width="8.44140625" style="15" customWidth="1"/>
    <col min="11282" max="11284" width="7.6640625" style="15" customWidth="1"/>
    <col min="11285" max="11285" width="14.21875" style="15" bestFit="1" customWidth="1"/>
    <col min="11286" max="11286" width="30.77734375" style="15" customWidth="1"/>
    <col min="11287" max="11303" width="5" style="15" customWidth="1"/>
    <col min="11304" max="11304" width="0" style="15" hidden="1" customWidth="1"/>
    <col min="11305" max="11520" width="8.6640625" style="15"/>
    <col min="11521" max="11521" width="7.6640625" style="15" customWidth="1"/>
    <col min="11522" max="11522" width="9.6640625" style="15" customWidth="1"/>
    <col min="11523" max="11523" width="3.77734375" style="15" customWidth="1"/>
    <col min="11524" max="11524" width="5.77734375" style="15" customWidth="1"/>
    <col min="11525" max="11525" width="5.21875" style="15" customWidth="1"/>
    <col min="11526" max="11526" width="3.21875" style="15" customWidth="1"/>
    <col min="11527" max="11527" width="3.44140625" style="15" customWidth="1"/>
    <col min="11528" max="11532" width="7.21875" style="15" customWidth="1"/>
    <col min="11533" max="11533" width="23.21875" style="15" customWidth="1"/>
    <col min="11534" max="11535" width="5.21875" style="15" customWidth="1"/>
    <col min="11536" max="11536" width="9.77734375" style="15" customWidth="1"/>
    <col min="11537" max="11537" width="8.44140625" style="15" customWidth="1"/>
    <col min="11538" max="11540" width="7.6640625" style="15" customWidth="1"/>
    <col min="11541" max="11541" width="14.21875" style="15" bestFit="1" customWidth="1"/>
    <col min="11542" max="11542" width="30.77734375" style="15" customWidth="1"/>
    <col min="11543" max="11559" width="5" style="15" customWidth="1"/>
    <col min="11560" max="11560" width="0" style="15" hidden="1" customWidth="1"/>
    <col min="11561" max="11776" width="8.6640625" style="15"/>
    <col min="11777" max="11777" width="7.6640625" style="15" customWidth="1"/>
    <col min="11778" max="11778" width="9.6640625" style="15" customWidth="1"/>
    <col min="11779" max="11779" width="3.77734375" style="15" customWidth="1"/>
    <col min="11780" max="11780" width="5.77734375" style="15" customWidth="1"/>
    <col min="11781" max="11781" width="5.21875" style="15" customWidth="1"/>
    <col min="11782" max="11782" width="3.21875" style="15" customWidth="1"/>
    <col min="11783" max="11783" width="3.44140625" style="15" customWidth="1"/>
    <col min="11784" max="11788" width="7.21875" style="15" customWidth="1"/>
    <col min="11789" max="11789" width="23.21875" style="15" customWidth="1"/>
    <col min="11790" max="11791" width="5.21875" style="15" customWidth="1"/>
    <col min="11792" max="11792" width="9.77734375" style="15" customWidth="1"/>
    <col min="11793" max="11793" width="8.44140625" style="15" customWidth="1"/>
    <col min="11794" max="11796" width="7.6640625" style="15" customWidth="1"/>
    <col min="11797" max="11797" width="14.21875" style="15" bestFit="1" customWidth="1"/>
    <col min="11798" max="11798" width="30.77734375" style="15" customWidth="1"/>
    <col min="11799" max="11815" width="5" style="15" customWidth="1"/>
    <col min="11816" max="11816" width="0" style="15" hidden="1" customWidth="1"/>
    <col min="11817" max="12032" width="8.6640625" style="15"/>
    <col min="12033" max="12033" width="7.6640625" style="15" customWidth="1"/>
    <col min="12034" max="12034" width="9.6640625" style="15" customWidth="1"/>
    <col min="12035" max="12035" width="3.77734375" style="15" customWidth="1"/>
    <col min="12036" max="12036" width="5.77734375" style="15" customWidth="1"/>
    <col min="12037" max="12037" width="5.21875" style="15" customWidth="1"/>
    <col min="12038" max="12038" width="3.21875" style="15" customWidth="1"/>
    <col min="12039" max="12039" width="3.44140625" style="15" customWidth="1"/>
    <col min="12040" max="12044" width="7.21875" style="15" customWidth="1"/>
    <col min="12045" max="12045" width="23.21875" style="15" customWidth="1"/>
    <col min="12046" max="12047" width="5.21875" style="15" customWidth="1"/>
    <col min="12048" max="12048" width="9.77734375" style="15" customWidth="1"/>
    <col min="12049" max="12049" width="8.44140625" style="15" customWidth="1"/>
    <col min="12050" max="12052" width="7.6640625" style="15" customWidth="1"/>
    <col min="12053" max="12053" width="14.21875" style="15" bestFit="1" customWidth="1"/>
    <col min="12054" max="12054" width="30.77734375" style="15" customWidth="1"/>
    <col min="12055" max="12071" width="5" style="15" customWidth="1"/>
    <col min="12072" max="12072" width="0" style="15" hidden="1" customWidth="1"/>
    <col min="12073" max="12288" width="8.6640625" style="15"/>
    <col min="12289" max="12289" width="7.6640625" style="15" customWidth="1"/>
    <col min="12290" max="12290" width="9.6640625" style="15" customWidth="1"/>
    <col min="12291" max="12291" width="3.77734375" style="15" customWidth="1"/>
    <col min="12292" max="12292" width="5.77734375" style="15" customWidth="1"/>
    <col min="12293" max="12293" width="5.21875" style="15" customWidth="1"/>
    <col min="12294" max="12294" width="3.21875" style="15" customWidth="1"/>
    <col min="12295" max="12295" width="3.44140625" style="15" customWidth="1"/>
    <col min="12296" max="12300" width="7.21875" style="15" customWidth="1"/>
    <col min="12301" max="12301" width="23.21875" style="15" customWidth="1"/>
    <col min="12302" max="12303" width="5.21875" style="15" customWidth="1"/>
    <col min="12304" max="12304" width="9.77734375" style="15" customWidth="1"/>
    <col min="12305" max="12305" width="8.44140625" style="15" customWidth="1"/>
    <col min="12306" max="12308" width="7.6640625" style="15" customWidth="1"/>
    <col min="12309" max="12309" width="14.21875" style="15" bestFit="1" customWidth="1"/>
    <col min="12310" max="12310" width="30.77734375" style="15" customWidth="1"/>
    <col min="12311" max="12327" width="5" style="15" customWidth="1"/>
    <col min="12328" max="12328" width="0" style="15" hidden="1" customWidth="1"/>
    <col min="12329" max="12544" width="8.6640625" style="15"/>
    <col min="12545" max="12545" width="7.6640625" style="15" customWidth="1"/>
    <col min="12546" max="12546" width="9.6640625" style="15" customWidth="1"/>
    <col min="12547" max="12547" width="3.77734375" style="15" customWidth="1"/>
    <col min="12548" max="12548" width="5.77734375" style="15" customWidth="1"/>
    <col min="12549" max="12549" width="5.21875" style="15" customWidth="1"/>
    <col min="12550" max="12550" width="3.21875" style="15" customWidth="1"/>
    <col min="12551" max="12551" width="3.44140625" style="15" customWidth="1"/>
    <col min="12552" max="12556" width="7.21875" style="15" customWidth="1"/>
    <col min="12557" max="12557" width="23.21875" style="15" customWidth="1"/>
    <col min="12558" max="12559" width="5.21875" style="15" customWidth="1"/>
    <col min="12560" max="12560" width="9.77734375" style="15" customWidth="1"/>
    <col min="12561" max="12561" width="8.44140625" style="15" customWidth="1"/>
    <col min="12562" max="12564" width="7.6640625" style="15" customWidth="1"/>
    <col min="12565" max="12565" width="14.21875" style="15" bestFit="1" customWidth="1"/>
    <col min="12566" max="12566" width="30.77734375" style="15" customWidth="1"/>
    <col min="12567" max="12583" width="5" style="15" customWidth="1"/>
    <col min="12584" max="12584" width="0" style="15" hidden="1" customWidth="1"/>
    <col min="12585" max="12800" width="8.6640625" style="15"/>
    <col min="12801" max="12801" width="7.6640625" style="15" customWidth="1"/>
    <col min="12802" max="12802" width="9.6640625" style="15" customWidth="1"/>
    <col min="12803" max="12803" width="3.77734375" style="15" customWidth="1"/>
    <col min="12804" max="12804" width="5.77734375" style="15" customWidth="1"/>
    <col min="12805" max="12805" width="5.21875" style="15" customWidth="1"/>
    <col min="12806" max="12806" width="3.21875" style="15" customWidth="1"/>
    <col min="12807" max="12807" width="3.44140625" style="15" customWidth="1"/>
    <col min="12808" max="12812" width="7.21875" style="15" customWidth="1"/>
    <col min="12813" max="12813" width="23.21875" style="15" customWidth="1"/>
    <col min="12814" max="12815" width="5.21875" style="15" customWidth="1"/>
    <col min="12816" max="12816" width="9.77734375" style="15" customWidth="1"/>
    <col min="12817" max="12817" width="8.44140625" style="15" customWidth="1"/>
    <col min="12818" max="12820" width="7.6640625" style="15" customWidth="1"/>
    <col min="12821" max="12821" width="14.21875" style="15" bestFit="1" customWidth="1"/>
    <col min="12822" max="12822" width="30.77734375" style="15" customWidth="1"/>
    <col min="12823" max="12839" width="5" style="15" customWidth="1"/>
    <col min="12840" max="12840" width="0" style="15" hidden="1" customWidth="1"/>
    <col min="12841" max="13056" width="8.6640625" style="15"/>
    <col min="13057" max="13057" width="7.6640625" style="15" customWidth="1"/>
    <col min="13058" max="13058" width="9.6640625" style="15" customWidth="1"/>
    <col min="13059" max="13059" width="3.77734375" style="15" customWidth="1"/>
    <col min="13060" max="13060" width="5.77734375" style="15" customWidth="1"/>
    <col min="13061" max="13061" width="5.21875" style="15" customWidth="1"/>
    <col min="13062" max="13062" width="3.21875" style="15" customWidth="1"/>
    <col min="13063" max="13063" width="3.44140625" style="15" customWidth="1"/>
    <col min="13064" max="13068" width="7.21875" style="15" customWidth="1"/>
    <col min="13069" max="13069" width="23.21875" style="15" customWidth="1"/>
    <col min="13070" max="13071" width="5.21875" style="15" customWidth="1"/>
    <col min="13072" max="13072" width="9.77734375" style="15" customWidth="1"/>
    <col min="13073" max="13073" width="8.44140625" style="15" customWidth="1"/>
    <col min="13074" max="13076" width="7.6640625" style="15" customWidth="1"/>
    <col min="13077" max="13077" width="14.21875" style="15" bestFit="1" customWidth="1"/>
    <col min="13078" max="13078" width="30.77734375" style="15" customWidth="1"/>
    <col min="13079" max="13095" width="5" style="15" customWidth="1"/>
    <col min="13096" max="13096" width="0" style="15" hidden="1" customWidth="1"/>
    <col min="13097" max="13312" width="8.6640625" style="15"/>
    <col min="13313" max="13313" width="7.6640625" style="15" customWidth="1"/>
    <col min="13314" max="13314" width="9.6640625" style="15" customWidth="1"/>
    <col min="13315" max="13315" width="3.77734375" style="15" customWidth="1"/>
    <col min="13316" max="13316" width="5.77734375" style="15" customWidth="1"/>
    <col min="13317" max="13317" width="5.21875" style="15" customWidth="1"/>
    <col min="13318" max="13318" width="3.21875" style="15" customWidth="1"/>
    <col min="13319" max="13319" width="3.44140625" style="15" customWidth="1"/>
    <col min="13320" max="13324" width="7.21875" style="15" customWidth="1"/>
    <col min="13325" max="13325" width="23.21875" style="15" customWidth="1"/>
    <col min="13326" max="13327" width="5.21875" style="15" customWidth="1"/>
    <col min="13328" max="13328" width="9.77734375" style="15" customWidth="1"/>
    <col min="13329" max="13329" width="8.44140625" style="15" customWidth="1"/>
    <col min="13330" max="13332" width="7.6640625" style="15" customWidth="1"/>
    <col min="13333" max="13333" width="14.21875" style="15" bestFit="1" customWidth="1"/>
    <col min="13334" max="13334" width="30.77734375" style="15" customWidth="1"/>
    <col min="13335" max="13351" width="5" style="15" customWidth="1"/>
    <col min="13352" max="13352" width="0" style="15" hidden="1" customWidth="1"/>
    <col min="13353" max="13568" width="8.6640625" style="15"/>
    <col min="13569" max="13569" width="7.6640625" style="15" customWidth="1"/>
    <col min="13570" max="13570" width="9.6640625" style="15" customWidth="1"/>
    <col min="13571" max="13571" width="3.77734375" style="15" customWidth="1"/>
    <col min="13572" max="13572" width="5.77734375" style="15" customWidth="1"/>
    <col min="13573" max="13573" width="5.21875" style="15" customWidth="1"/>
    <col min="13574" max="13574" width="3.21875" style="15" customWidth="1"/>
    <col min="13575" max="13575" width="3.44140625" style="15" customWidth="1"/>
    <col min="13576" max="13580" width="7.21875" style="15" customWidth="1"/>
    <col min="13581" max="13581" width="23.21875" style="15" customWidth="1"/>
    <col min="13582" max="13583" width="5.21875" style="15" customWidth="1"/>
    <col min="13584" max="13584" width="9.77734375" style="15" customWidth="1"/>
    <col min="13585" max="13585" width="8.44140625" style="15" customWidth="1"/>
    <col min="13586" max="13588" width="7.6640625" style="15" customWidth="1"/>
    <col min="13589" max="13589" width="14.21875" style="15" bestFit="1" customWidth="1"/>
    <col min="13590" max="13590" width="30.77734375" style="15" customWidth="1"/>
    <col min="13591" max="13607" width="5" style="15" customWidth="1"/>
    <col min="13608" max="13608" width="0" style="15" hidden="1" customWidth="1"/>
    <col min="13609" max="13824" width="8.6640625" style="15"/>
    <col min="13825" max="13825" width="7.6640625" style="15" customWidth="1"/>
    <col min="13826" max="13826" width="9.6640625" style="15" customWidth="1"/>
    <col min="13827" max="13827" width="3.77734375" style="15" customWidth="1"/>
    <col min="13828" max="13828" width="5.77734375" style="15" customWidth="1"/>
    <col min="13829" max="13829" width="5.21875" style="15" customWidth="1"/>
    <col min="13830" max="13830" width="3.21875" style="15" customWidth="1"/>
    <col min="13831" max="13831" width="3.44140625" style="15" customWidth="1"/>
    <col min="13832" max="13836" width="7.21875" style="15" customWidth="1"/>
    <col min="13837" max="13837" width="23.21875" style="15" customWidth="1"/>
    <col min="13838" max="13839" width="5.21875" style="15" customWidth="1"/>
    <col min="13840" max="13840" width="9.77734375" style="15" customWidth="1"/>
    <col min="13841" max="13841" width="8.44140625" style="15" customWidth="1"/>
    <col min="13842" max="13844" width="7.6640625" style="15" customWidth="1"/>
    <col min="13845" max="13845" width="14.21875" style="15" bestFit="1" customWidth="1"/>
    <col min="13846" max="13846" width="30.77734375" style="15" customWidth="1"/>
    <col min="13847" max="13863" width="5" style="15" customWidth="1"/>
    <col min="13864" max="13864" width="0" style="15" hidden="1" customWidth="1"/>
    <col min="13865" max="14080" width="8.6640625" style="15"/>
    <col min="14081" max="14081" width="7.6640625" style="15" customWidth="1"/>
    <col min="14082" max="14082" width="9.6640625" style="15" customWidth="1"/>
    <col min="14083" max="14083" width="3.77734375" style="15" customWidth="1"/>
    <col min="14084" max="14084" width="5.77734375" style="15" customWidth="1"/>
    <col min="14085" max="14085" width="5.21875" style="15" customWidth="1"/>
    <col min="14086" max="14086" width="3.21875" style="15" customWidth="1"/>
    <col min="14087" max="14087" width="3.44140625" style="15" customWidth="1"/>
    <col min="14088" max="14092" width="7.21875" style="15" customWidth="1"/>
    <col min="14093" max="14093" width="23.21875" style="15" customWidth="1"/>
    <col min="14094" max="14095" width="5.21875" style="15" customWidth="1"/>
    <col min="14096" max="14096" width="9.77734375" style="15" customWidth="1"/>
    <col min="14097" max="14097" width="8.44140625" style="15" customWidth="1"/>
    <col min="14098" max="14100" width="7.6640625" style="15" customWidth="1"/>
    <col min="14101" max="14101" width="14.21875" style="15" bestFit="1" customWidth="1"/>
    <col min="14102" max="14102" width="30.77734375" style="15" customWidth="1"/>
    <col min="14103" max="14119" width="5" style="15" customWidth="1"/>
    <col min="14120" max="14120" width="0" style="15" hidden="1" customWidth="1"/>
    <col min="14121" max="14336" width="8.6640625" style="15"/>
    <col min="14337" max="14337" width="7.6640625" style="15" customWidth="1"/>
    <col min="14338" max="14338" width="9.6640625" style="15" customWidth="1"/>
    <col min="14339" max="14339" width="3.77734375" style="15" customWidth="1"/>
    <col min="14340" max="14340" width="5.77734375" style="15" customWidth="1"/>
    <col min="14341" max="14341" width="5.21875" style="15" customWidth="1"/>
    <col min="14342" max="14342" width="3.21875" style="15" customWidth="1"/>
    <col min="14343" max="14343" width="3.44140625" style="15" customWidth="1"/>
    <col min="14344" max="14348" width="7.21875" style="15" customWidth="1"/>
    <col min="14349" max="14349" width="23.21875" style="15" customWidth="1"/>
    <col min="14350" max="14351" width="5.21875" style="15" customWidth="1"/>
    <col min="14352" max="14352" width="9.77734375" style="15" customWidth="1"/>
    <col min="14353" max="14353" width="8.44140625" style="15" customWidth="1"/>
    <col min="14354" max="14356" width="7.6640625" style="15" customWidth="1"/>
    <col min="14357" max="14357" width="14.21875" style="15" bestFit="1" customWidth="1"/>
    <col min="14358" max="14358" width="30.77734375" style="15" customWidth="1"/>
    <col min="14359" max="14375" width="5" style="15" customWidth="1"/>
    <col min="14376" max="14376" width="0" style="15" hidden="1" customWidth="1"/>
    <col min="14377" max="14592" width="8.6640625" style="15"/>
    <col min="14593" max="14593" width="7.6640625" style="15" customWidth="1"/>
    <col min="14594" max="14594" width="9.6640625" style="15" customWidth="1"/>
    <col min="14595" max="14595" width="3.77734375" style="15" customWidth="1"/>
    <col min="14596" max="14596" width="5.77734375" style="15" customWidth="1"/>
    <col min="14597" max="14597" width="5.21875" style="15" customWidth="1"/>
    <col min="14598" max="14598" width="3.21875" style="15" customWidth="1"/>
    <col min="14599" max="14599" width="3.44140625" style="15" customWidth="1"/>
    <col min="14600" max="14604" width="7.21875" style="15" customWidth="1"/>
    <col min="14605" max="14605" width="23.21875" style="15" customWidth="1"/>
    <col min="14606" max="14607" width="5.21875" style="15" customWidth="1"/>
    <col min="14608" max="14608" width="9.77734375" style="15" customWidth="1"/>
    <col min="14609" max="14609" width="8.44140625" style="15" customWidth="1"/>
    <col min="14610" max="14612" width="7.6640625" style="15" customWidth="1"/>
    <col min="14613" max="14613" width="14.21875" style="15" bestFit="1" customWidth="1"/>
    <col min="14614" max="14614" width="30.77734375" style="15" customWidth="1"/>
    <col min="14615" max="14631" width="5" style="15" customWidth="1"/>
    <col min="14632" max="14632" width="0" style="15" hidden="1" customWidth="1"/>
    <col min="14633" max="14848" width="8.6640625" style="15"/>
    <col min="14849" max="14849" width="7.6640625" style="15" customWidth="1"/>
    <col min="14850" max="14850" width="9.6640625" style="15" customWidth="1"/>
    <col min="14851" max="14851" width="3.77734375" style="15" customWidth="1"/>
    <col min="14852" max="14852" width="5.77734375" style="15" customWidth="1"/>
    <col min="14853" max="14853" width="5.21875" style="15" customWidth="1"/>
    <col min="14854" max="14854" width="3.21875" style="15" customWidth="1"/>
    <col min="14855" max="14855" width="3.44140625" style="15" customWidth="1"/>
    <col min="14856" max="14860" width="7.21875" style="15" customWidth="1"/>
    <col min="14861" max="14861" width="23.21875" style="15" customWidth="1"/>
    <col min="14862" max="14863" width="5.21875" style="15" customWidth="1"/>
    <col min="14864" max="14864" width="9.77734375" style="15" customWidth="1"/>
    <col min="14865" max="14865" width="8.44140625" style="15" customWidth="1"/>
    <col min="14866" max="14868" width="7.6640625" style="15" customWidth="1"/>
    <col min="14869" max="14869" width="14.21875" style="15" bestFit="1" customWidth="1"/>
    <col min="14870" max="14870" width="30.77734375" style="15" customWidth="1"/>
    <col min="14871" max="14887" width="5" style="15" customWidth="1"/>
    <col min="14888" max="14888" width="0" style="15" hidden="1" customWidth="1"/>
    <col min="14889" max="15104" width="8.6640625" style="15"/>
    <col min="15105" max="15105" width="7.6640625" style="15" customWidth="1"/>
    <col min="15106" max="15106" width="9.6640625" style="15" customWidth="1"/>
    <col min="15107" max="15107" width="3.77734375" style="15" customWidth="1"/>
    <col min="15108" max="15108" width="5.77734375" style="15" customWidth="1"/>
    <col min="15109" max="15109" width="5.21875" style="15" customWidth="1"/>
    <col min="15110" max="15110" width="3.21875" style="15" customWidth="1"/>
    <col min="15111" max="15111" width="3.44140625" style="15" customWidth="1"/>
    <col min="15112" max="15116" width="7.21875" style="15" customWidth="1"/>
    <col min="15117" max="15117" width="23.21875" style="15" customWidth="1"/>
    <col min="15118" max="15119" width="5.21875" style="15" customWidth="1"/>
    <col min="15120" max="15120" width="9.77734375" style="15" customWidth="1"/>
    <col min="15121" max="15121" width="8.44140625" style="15" customWidth="1"/>
    <col min="15122" max="15124" width="7.6640625" style="15" customWidth="1"/>
    <col min="15125" max="15125" width="14.21875" style="15" bestFit="1" customWidth="1"/>
    <col min="15126" max="15126" width="30.77734375" style="15" customWidth="1"/>
    <col min="15127" max="15143" width="5" style="15" customWidth="1"/>
    <col min="15144" max="15144" width="0" style="15" hidden="1" customWidth="1"/>
    <col min="15145" max="15360" width="8.6640625" style="15"/>
    <col min="15361" max="15361" width="7.6640625" style="15" customWidth="1"/>
    <col min="15362" max="15362" width="9.6640625" style="15" customWidth="1"/>
    <col min="15363" max="15363" width="3.77734375" style="15" customWidth="1"/>
    <col min="15364" max="15364" width="5.77734375" style="15" customWidth="1"/>
    <col min="15365" max="15365" width="5.21875" style="15" customWidth="1"/>
    <col min="15366" max="15366" width="3.21875" style="15" customWidth="1"/>
    <col min="15367" max="15367" width="3.44140625" style="15" customWidth="1"/>
    <col min="15368" max="15372" width="7.21875" style="15" customWidth="1"/>
    <col min="15373" max="15373" width="23.21875" style="15" customWidth="1"/>
    <col min="15374" max="15375" width="5.21875" style="15" customWidth="1"/>
    <col min="15376" max="15376" width="9.77734375" style="15" customWidth="1"/>
    <col min="15377" max="15377" width="8.44140625" style="15" customWidth="1"/>
    <col min="15378" max="15380" width="7.6640625" style="15" customWidth="1"/>
    <col min="15381" max="15381" width="14.21875" style="15" bestFit="1" customWidth="1"/>
    <col min="15382" max="15382" width="30.77734375" style="15" customWidth="1"/>
    <col min="15383" max="15399" width="5" style="15" customWidth="1"/>
    <col min="15400" max="15400" width="0" style="15" hidden="1" customWidth="1"/>
    <col min="15401" max="15616" width="8.6640625" style="15"/>
    <col min="15617" max="15617" width="7.6640625" style="15" customWidth="1"/>
    <col min="15618" max="15618" width="9.6640625" style="15" customWidth="1"/>
    <col min="15619" max="15619" width="3.77734375" style="15" customWidth="1"/>
    <col min="15620" max="15620" width="5.77734375" style="15" customWidth="1"/>
    <col min="15621" max="15621" width="5.21875" style="15" customWidth="1"/>
    <col min="15622" max="15622" width="3.21875" style="15" customWidth="1"/>
    <col min="15623" max="15623" width="3.44140625" style="15" customWidth="1"/>
    <col min="15624" max="15628" width="7.21875" style="15" customWidth="1"/>
    <col min="15629" max="15629" width="23.21875" style="15" customWidth="1"/>
    <col min="15630" max="15631" width="5.21875" style="15" customWidth="1"/>
    <col min="15632" max="15632" width="9.77734375" style="15" customWidth="1"/>
    <col min="15633" max="15633" width="8.44140625" style="15" customWidth="1"/>
    <col min="15634" max="15636" width="7.6640625" style="15" customWidth="1"/>
    <col min="15637" max="15637" width="14.21875" style="15" bestFit="1" customWidth="1"/>
    <col min="15638" max="15638" width="30.77734375" style="15" customWidth="1"/>
    <col min="15639" max="15655" width="5" style="15" customWidth="1"/>
    <col min="15656" max="15656" width="0" style="15" hidden="1" customWidth="1"/>
    <col min="15657" max="15872" width="8.6640625" style="15"/>
    <col min="15873" max="15873" width="7.6640625" style="15" customWidth="1"/>
    <col min="15874" max="15874" width="9.6640625" style="15" customWidth="1"/>
    <col min="15875" max="15875" width="3.77734375" style="15" customWidth="1"/>
    <col min="15876" max="15876" width="5.77734375" style="15" customWidth="1"/>
    <col min="15877" max="15877" width="5.21875" style="15" customWidth="1"/>
    <col min="15878" max="15878" width="3.21875" style="15" customWidth="1"/>
    <col min="15879" max="15879" width="3.44140625" style="15" customWidth="1"/>
    <col min="15880" max="15884" width="7.21875" style="15" customWidth="1"/>
    <col min="15885" max="15885" width="23.21875" style="15" customWidth="1"/>
    <col min="15886" max="15887" width="5.21875" style="15" customWidth="1"/>
    <col min="15888" max="15888" width="9.77734375" style="15" customWidth="1"/>
    <col min="15889" max="15889" width="8.44140625" style="15" customWidth="1"/>
    <col min="15890" max="15892" width="7.6640625" style="15" customWidth="1"/>
    <col min="15893" max="15893" width="14.21875" style="15" bestFit="1" customWidth="1"/>
    <col min="15894" max="15894" width="30.77734375" style="15" customWidth="1"/>
    <col min="15895" max="15911" width="5" style="15" customWidth="1"/>
    <col min="15912" max="15912" width="0" style="15" hidden="1" customWidth="1"/>
    <col min="15913" max="16128" width="8.6640625" style="15"/>
    <col min="16129" max="16129" width="7.6640625" style="15" customWidth="1"/>
    <col min="16130" max="16130" width="9.6640625" style="15" customWidth="1"/>
    <col min="16131" max="16131" width="3.77734375" style="15" customWidth="1"/>
    <col min="16132" max="16132" width="5.77734375" style="15" customWidth="1"/>
    <col min="16133" max="16133" width="5.21875" style="15" customWidth="1"/>
    <col min="16134" max="16134" width="3.21875" style="15" customWidth="1"/>
    <col min="16135" max="16135" width="3.44140625" style="15" customWidth="1"/>
    <col min="16136" max="16140" width="7.21875" style="15" customWidth="1"/>
    <col min="16141" max="16141" width="23.21875" style="15" customWidth="1"/>
    <col min="16142" max="16143" width="5.21875" style="15" customWidth="1"/>
    <col min="16144" max="16144" width="9.77734375" style="15" customWidth="1"/>
    <col min="16145" max="16145" width="8.44140625" style="15" customWidth="1"/>
    <col min="16146" max="16148" width="7.6640625" style="15" customWidth="1"/>
    <col min="16149" max="16149" width="14.21875" style="15" bestFit="1" customWidth="1"/>
    <col min="16150" max="16150" width="30.77734375" style="15" customWidth="1"/>
    <col min="16151" max="16167" width="5" style="15" customWidth="1"/>
    <col min="16168" max="16168" width="0" style="15" hidden="1" customWidth="1"/>
    <col min="16169" max="16384" width="8.6640625" style="15"/>
  </cols>
  <sheetData>
    <row r="1" spans="1:30" s="12" customFormat="1" ht="25.05" customHeight="1">
      <c r="A1" s="55" t="s">
        <v>32</v>
      </c>
      <c r="B1" s="55"/>
      <c r="C1" s="55"/>
      <c r="D1" s="130" t="s">
        <v>33</v>
      </c>
      <c r="E1" s="130"/>
      <c r="F1" s="130"/>
      <c r="G1" s="130"/>
      <c r="H1" s="130"/>
      <c r="I1" s="130"/>
      <c r="J1" s="130"/>
      <c r="K1" s="130"/>
      <c r="L1" s="130"/>
      <c r="M1" s="130" t="s">
        <v>34</v>
      </c>
      <c r="N1" s="130"/>
      <c r="O1" s="131" t="str">
        <f>+'TIME SHEET'!AH3</f>
        <v/>
      </c>
      <c r="P1" s="132"/>
      <c r="Q1" s="56"/>
      <c r="R1"/>
      <c r="S1"/>
      <c r="T1"/>
      <c r="U1"/>
      <c r="V1"/>
      <c r="W1"/>
      <c r="Y1"/>
      <c r="Z1"/>
      <c r="AA1"/>
      <c r="AB1"/>
      <c r="AC1"/>
      <c r="AD1"/>
    </row>
    <row r="2" spans="1:30" s="13" customFormat="1" ht="25.05" customHeight="1">
      <c r="A2" s="57" t="s">
        <v>35</v>
      </c>
      <c r="B2" s="133" t="str">
        <f>'TIME SHEET'!C3</f>
        <v>ธันวาคม</v>
      </c>
      <c r="C2" s="134"/>
      <c r="D2" s="58" t="s">
        <v>4</v>
      </c>
      <c r="E2" s="133">
        <f>'TIME SHEET'!F3</f>
        <v>2569</v>
      </c>
      <c r="F2" s="134"/>
      <c r="G2" s="57" t="s">
        <v>36</v>
      </c>
      <c r="H2" s="57"/>
      <c r="I2" s="135" t="str">
        <f>'TIME SHEET'!Z3</f>
        <v/>
      </c>
      <c r="J2" s="136"/>
      <c r="K2" s="136"/>
      <c r="L2" s="136"/>
      <c r="M2" s="137" t="s">
        <v>37</v>
      </c>
      <c r="N2" s="137"/>
      <c r="O2" s="138"/>
      <c r="P2" s="138"/>
      <c r="Q2" s="59"/>
      <c r="R2"/>
      <c r="S2"/>
      <c r="T2"/>
      <c r="U2"/>
      <c r="V2"/>
      <c r="W2"/>
      <c r="Y2"/>
      <c r="Z2"/>
      <c r="AA2"/>
      <c r="AB2"/>
      <c r="AC2"/>
      <c r="AD2"/>
    </row>
    <row r="3" spans="1:30" ht="25.05" customHeight="1">
      <c r="A3" s="139"/>
      <c r="B3" s="139"/>
      <c r="C3" s="139"/>
      <c r="D3" s="139"/>
      <c r="E3" s="139"/>
      <c r="F3" s="139"/>
      <c r="G3" s="139"/>
      <c r="H3" s="139"/>
      <c r="I3" s="139"/>
      <c r="J3" s="139"/>
      <c r="K3" s="139"/>
      <c r="L3" s="139"/>
      <c r="M3" s="139"/>
      <c r="N3" s="139"/>
      <c r="O3" s="139"/>
      <c r="P3" s="139"/>
      <c r="Q3" s="60"/>
      <c r="R3"/>
      <c r="S3"/>
      <c r="T3"/>
      <c r="U3"/>
      <c r="V3"/>
      <c r="W3"/>
      <c r="Y3"/>
      <c r="Z3"/>
      <c r="AA3"/>
      <c r="AB3"/>
      <c r="AC3"/>
      <c r="AD3"/>
    </row>
    <row r="4" spans="1:30" s="14" customFormat="1" ht="23.4">
      <c r="A4" s="140" t="s">
        <v>38</v>
      </c>
      <c r="B4" s="142" t="s">
        <v>39</v>
      </c>
      <c r="C4" s="143"/>
      <c r="D4" s="144"/>
      <c r="E4" s="145" t="s">
        <v>40</v>
      </c>
      <c r="F4" s="146"/>
      <c r="G4" s="147"/>
      <c r="H4" s="145" t="s">
        <v>41</v>
      </c>
      <c r="I4" s="146"/>
      <c r="J4" s="146"/>
      <c r="K4" s="146"/>
      <c r="L4" s="146"/>
      <c r="M4" s="147"/>
      <c r="N4" s="142" t="s">
        <v>42</v>
      </c>
      <c r="O4" s="143"/>
      <c r="P4" s="144"/>
      <c r="Q4" s="61"/>
      <c r="R4"/>
      <c r="S4"/>
      <c r="T4"/>
      <c r="U4"/>
      <c r="V4"/>
      <c r="W4"/>
      <c r="Y4"/>
      <c r="Z4"/>
      <c r="AA4"/>
      <c r="AB4"/>
      <c r="AC4"/>
      <c r="AD4"/>
    </row>
    <row r="5" spans="1:30" s="14" customFormat="1" ht="25.05" customHeight="1">
      <c r="A5" s="141"/>
      <c r="B5" s="62" t="s">
        <v>43</v>
      </c>
      <c r="C5" s="142" t="s">
        <v>44</v>
      </c>
      <c r="D5" s="144"/>
      <c r="E5" s="148"/>
      <c r="F5" s="149"/>
      <c r="G5" s="150"/>
      <c r="H5" s="148"/>
      <c r="I5" s="149"/>
      <c r="J5" s="149"/>
      <c r="K5" s="149"/>
      <c r="L5" s="149"/>
      <c r="M5" s="150"/>
      <c r="N5" s="142" t="s">
        <v>45</v>
      </c>
      <c r="O5" s="144"/>
      <c r="P5" s="63" t="s">
        <v>46</v>
      </c>
      <c r="Q5" s="56" t="s">
        <v>56</v>
      </c>
      <c r="R5"/>
      <c r="S5"/>
      <c r="T5"/>
      <c r="U5"/>
      <c r="V5"/>
      <c r="W5"/>
      <c r="Y5"/>
      <c r="Z5"/>
      <c r="AA5"/>
      <c r="AB5"/>
      <c r="AC5"/>
      <c r="AD5"/>
    </row>
    <row r="6" spans="1:30" ht="25.05" customHeight="1">
      <c r="A6" s="94">
        <f>1</f>
        <v>1</v>
      </c>
      <c r="B6" s="64"/>
      <c r="C6" s="119"/>
      <c r="D6" s="120"/>
      <c r="E6" s="121"/>
      <c r="F6" s="122"/>
      <c r="G6" s="123"/>
      <c r="H6" s="66"/>
      <c r="I6" s="151"/>
      <c r="J6" s="151"/>
      <c r="K6" s="151"/>
      <c r="L6" s="151"/>
      <c r="M6" s="152"/>
      <c r="N6" s="117" t="str">
        <f t="shared" ref="N6:N38" si="0">IF(IF(OR($B6="",$C6=""),"",(IF($C6="","",INT($C6)*60+ROUND(MOD($C6,1)*100,0))-IF($B6="","",IF($B6=0.01,0,INT($B6)*60+ROUND(MOD($B6,1)*100,0))))-MAX(0,MIN(IF($C6="","",INT($C6)*60+ROUND(MOD($C6,1)*100,0)),780)-MAX(IF($B6="","",IF($B6=0.01,0,INT($B6)*60+ROUND(MOD($B6,1)*100,0))),720))-MAX(0,MIN(IF($C6="","",INT($C6)*60+ROUND(MOD($C6,1)*100,0)),1260)-MAX(IF($B6="","",IF($B6=0.01,0,INT($B6)*60+ROUND(MOD($B6,1)*100,0))),1200)))="","",INT(IF(OR($B6="",$C6=""),"",(IF($C6="","",INT($C6)*60+ROUND(MOD($C6,1)*100,0))-IF($B6="","",IF($B6=0.01,0,INT($B6)*60+ROUND(MOD($B6,1)*100,0))))-MAX(0,MIN(IF($C6="","",INT($C6)*60+ROUND(MOD($C6,1)*100,0)),780)-MAX(IF($B6="","",IF($B6=0.01,0,INT($B6)*60+ROUND(MOD($B6,1)*100,0))),720))-MAX(0,MIN(IF($C6="","",INT($C6)*60+ROUND(MOD($C6,1)*100,0)),1260)-MAX(IF($B6="","",IF($B6=0.01,0,INT($B6)*60+ROUND(MOD($B6,1)*100,0))),1200)))/60))</f>
        <v/>
      </c>
      <c r="O6" s="118"/>
      <c r="P6" s="95" t="str">
        <f t="shared" ref="P6:P38" si="1">IF(IF(OR($B6="",$C6=""),"",(IF($C6="","",INT($C6)*60+ROUND(MOD($C6,1)*100,0))-IF($B6="","",IF($B6=0.01,0,INT($B6)*60+ROUND(MOD($B6,1)*100,0))))-MAX(0,MIN(IF($C6="","",INT($C6)*60+ROUND(MOD($C6,1)*100,0)),780)-MAX(IF($B6="","",IF($B6=0.01,0,INT($B6)*60+ROUND(MOD($B6,1)*100,0))),720))-MAX(0,MIN(IF($C6="","",INT($C6)*60+ROUND(MOD($C6,1)*100,0)),1260)-MAX(IF($B6="","",IF($B6=0.01,0,INT($B6)*60+ROUND(MOD($B6,1)*100,0))),1200)))="","",MOD(IF(OR($B6="",$C6=""),"",(IF($C6="","",INT($C6)*60+ROUND(MOD($C6,1)*100,0))-IF($B6="","",IF($B6=0.01,0,INT($B6)*60+ROUND(MOD($B6,1)*100,0))))-MAX(0,MIN(IF($C6="","",INT($C6)*60+ROUND(MOD($C6,1)*100,0)),780)-MAX(IF($B6="","",IF($B6=0.01,0,INT($B6)*60+ROUND(MOD($B6,1)*100,0))),720))-MAX(0,MIN(IF($C6="","",INT($C6)*60+ROUND(MOD($C6,1)*100,0)),1260)-MAX(IF($B6="","",IF($B6=0.01,0,INT($B6)*60+ROUND(MOD($B6,1)*100,0))),1200))),60))</f>
        <v/>
      </c>
      <c r="Q6" s="56"/>
      <c r="R6"/>
      <c r="S6"/>
      <c r="T6"/>
      <c r="U6"/>
      <c r="V6"/>
      <c r="W6"/>
      <c r="Y6"/>
      <c r="Z6"/>
      <c r="AA6"/>
      <c r="AB6"/>
      <c r="AC6"/>
      <c r="AD6"/>
    </row>
    <row r="7" spans="1:30" ht="25.05" customHeight="1">
      <c r="A7" s="94">
        <f>IF($A6="","",IF($A6+1&lt;=DAY(EOMONTH(DATE(HOLIDAYS!$E$3,HOLIDAYS!$E$2,1),0)),$A6+1,""))</f>
        <v>2</v>
      </c>
      <c r="B7" s="64"/>
      <c r="C7" s="119"/>
      <c r="D7" s="120"/>
      <c r="E7" s="121"/>
      <c r="F7" s="122"/>
      <c r="G7" s="123"/>
      <c r="H7" s="66"/>
      <c r="I7" s="115"/>
      <c r="J7" s="115"/>
      <c r="K7" s="115"/>
      <c r="L7" s="115"/>
      <c r="M7" s="116"/>
      <c r="N7" s="117" t="str">
        <f t="shared" si="0"/>
        <v/>
      </c>
      <c r="O7" s="118"/>
      <c r="P7" s="95" t="str">
        <f t="shared" si="1"/>
        <v/>
      </c>
      <c r="Q7" s="56"/>
      <c r="R7"/>
      <c r="S7"/>
      <c r="T7"/>
      <c r="U7"/>
      <c r="V7"/>
      <c r="W7"/>
      <c r="Y7"/>
      <c r="Z7"/>
      <c r="AA7"/>
      <c r="AB7"/>
      <c r="AC7"/>
      <c r="AD7"/>
    </row>
    <row r="8" spans="1:30" ht="25.05" customHeight="1">
      <c r="A8" s="94">
        <f>IF($A7="","",IF($A7+1&lt;=DAY(EOMONTH(DATE(HOLIDAYS!$E$3,HOLIDAYS!$E$2,1),0)),$A7+1,""))</f>
        <v>3</v>
      </c>
      <c r="B8" s="64"/>
      <c r="C8" s="119"/>
      <c r="D8" s="120"/>
      <c r="E8" s="121"/>
      <c r="F8" s="122"/>
      <c r="G8" s="123"/>
      <c r="H8" s="66"/>
      <c r="I8" s="115"/>
      <c r="J8" s="115"/>
      <c r="K8" s="115"/>
      <c r="L8" s="115"/>
      <c r="M8" s="116"/>
      <c r="N8" s="117" t="str">
        <f t="shared" si="0"/>
        <v/>
      </c>
      <c r="O8" s="118"/>
      <c r="P8" s="95" t="str">
        <f t="shared" si="1"/>
        <v/>
      </c>
      <c r="Q8" s="67"/>
      <c r="R8"/>
      <c r="S8"/>
      <c r="T8"/>
      <c r="U8"/>
      <c r="V8"/>
      <c r="W8"/>
      <c r="Y8"/>
      <c r="Z8"/>
      <c r="AA8"/>
      <c r="AB8"/>
      <c r="AC8"/>
      <c r="AD8"/>
    </row>
    <row r="9" spans="1:30" ht="25.05" customHeight="1">
      <c r="A9" s="94">
        <f>IF($A8="","",IF($A8+1&lt;=DAY(EOMONTH(DATE(HOLIDAYS!$E$3,HOLIDAYS!$E$2,1),0)),$A8+1,""))</f>
        <v>4</v>
      </c>
      <c r="B9" s="64"/>
      <c r="C9" s="119"/>
      <c r="D9" s="120"/>
      <c r="E9" s="121"/>
      <c r="F9" s="122"/>
      <c r="G9" s="123"/>
      <c r="H9" s="66"/>
      <c r="I9" s="115"/>
      <c r="J9" s="115"/>
      <c r="K9" s="115"/>
      <c r="L9" s="115"/>
      <c r="M9" s="116"/>
      <c r="N9" s="117" t="str">
        <f t="shared" si="0"/>
        <v/>
      </c>
      <c r="O9" s="118"/>
      <c r="P9" s="95" t="str">
        <f t="shared" si="1"/>
        <v/>
      </c>
      <c r="Q9" s="67"/>
      <c r="R9"/>
      <c r="S9"/>
      <c r="T9"/>
      <c r="U9"/>
      <c r="V9"/>
      <c r="W9"/>
      <c r="Y9"/>
      <c r="Z9"/>
      <c r="AA9"/>
      <c r="AB9"/>
      <c r="AC9"/>
      <c r="AD9"/>
    </row>
    <row r="10" spans="1:30" ht="25.05" customHeight="1">
      <c r="A10" s="94">
        <f>IF($A9="","",IF($A9+1&lt;=DAY(EOMONTH(DATE(HOLIDAYS!$E$3,HOLIDAYS!$E$2,1),0)),$A9+1,""))</f>
        <v>5</v>
      </c>
      <c r="B10" s="64"/>
      <c r="C10" s="119"/>
      <c r="D10" s="120"/>
      <c r="E10" s="121"/>
      <c r="F10" s="122"/>
      <c r="G10" s="123"/>
      <c r="H10" s="66"/>
      <c r="I10" s="115"/>
      <c r="J10" s="115"/>
      <c r="K10" s="115"/>
      <c r="L10" s="115"/>
      <c r="M10" s="116"/>
      <c r="N10" s="117" t="str">
        <f t="shared" si="0"/>
        <v/>
      </c>
      <c r="O10" s="118"/>
      <c r="P10" s="95" t="str">
        <f t="shared" si="1"/>
        <v/>
      </c>
      <c r="Q10" s="67"/>
      <c r="R10"/>
      <c r="S10"/>
      <c r="T10"/>
      <c r="U10"/>
      <c r="V10"/>
      <c r="W10"/>
      <c r="Y10"/>
      <c r="Z10"/>
      <c r="AA10"/>
      <c r="AB10"/>
      <c r="AC10"/>
      <c r="AD10"/>
    </row>
    <row r="11" spans="1:30" ht="25.05" customHeight="1">
      <c r="A11" s="94">
        <f>IF($A10="","",IF($A10+1&lt;=DAY(EOMONTH(DATE(HOLIDAYS!$E$3,HOLIDAYS!$E$2,1),0)),$A10+1,""))</f>
        <v>6</v>
      </c>
      <c r="B11" s="64"/>
      <c r="C11" s="119"/>
      <c r="D11" s="120"/>
      <c r="E11" s="121"/>
      <c r="F11" s="122"/>
      <c r="G11" s="123"/>
      <c r="H11" s="66"/>
      <c r="I11" s="115"/>
      <c r="J11" s="115"/>
      <c r="K11" s="115"/>
      <c r="L11" s="115"/>
      <c r="M11" s="116"/>
      <c r="N11" s="117" t="str">
        <f t="shared" si="0"/>
        <v/>
      </c>
      <c r="O11" s="118"/>
      <c r="P11" s="95" t="str">
        <f t="shared" si="1"/>
        <v/>
      </c>
      <c r="Q11" s="67"/>
      <c r="R11"/>
      <c r="S11"/>
      <c r="T11"/>
      <c r="U11"/>
      <c r="V11"/>
      <c r="W11"/>
      <c r="Y11"/>
      <c r="Z11"/>
      <c r="AA11"/>
      <c r="AB11"/>
      <c r="AC11"/>
      <c r="AD11"/>
    </row>
    <row r="12" spans="1:30" ht="25.05" customHeight="1">
      <c r="A12" s="94">
        <f>IF($A11="","",IF($A11+1&lt;=DAY(EOMONTH(DATE(HOLIDAYS!$E$3,HOLIDAYS!$E$2,1),0)),$A11+1,""))</f>
        <v>7</v>
      </c>
      <c r="B12" s="64"/>
      <c r="C12" s="119"/>
      <c r="D12" s="120"/>
      <c r="E12" s="121"/>
      <c r="F12" s="122"/>
      <c r="G12" s="123"/>
      <c r="H12" s="66"/>
      <c r="I12" s="115"/>
      <c r="J12" s="115"/>
      <c r="K12" s="115"/>
      <c r="L12" s="115"/>
      <c r="M12" s="116"/>
      <c r="N12" s="117" t="str">
        <f t="shared" si="0"/>
        <v/>
      </c>
      <c r="O12" s="118"/>
      <c r="P12" s="95" t="str">
        <f t="shared" si="1"/>
        <v/>
      </c>
      <c r="Q12" s="67"/>
      <c r="R12"/>
      <c r="S12"/>
      <c r="T12"/>
      <c r="U12"/>
      <c r="V12"/>
      <c r="W12"/>
      <c r="Y12"/>
      <c r="Z12"/>
      <c r="AA12"/>
      <c r="AB12"/>
      <c r="AC12"/>
      <c r="AD12"/>
    </row>
    <row r="13" spans="1:30" ht="25.05" customHeight="1">
      <c r="A13" s="94">
        <f>IF($A12="","",IF($A12+1&lt;=DAY(EOMONTH(DATE(HOLIDAYS!$E$3,HOLIDAYS!$E$2,1),0)),$A12+1,""))</f>
        <v>8</v>
      </c>
      <c r="B13" s="64"/>
      <c r="C13" s="119"/>
      <c r="D13" s="120"/>
      <c r="E13" s="121"/>
      <c r="F13" s="122"/>
      <c r="G13" s="123"/>
      <c r="H13" s="66"/>
      <c r="I13" s="115"/>
      <c r="J13" s="115"/>
      <c r="K13" s="115"/>
      <c r="L13" s="115"/>
      <c r="M13" s="116"/>
      <c r="N13" s="117" t="str">
        <f t="shared" si="0"/>
        <v/>
      </c>
      <c r="O13" s="118"/>
      <c r="P13" s="95" t="str">
        <f t="shared" si="1"/>
        <v/>
      </c>
      <c r="Q13" s="67"/>
      <c r="R13"/>
      <c r="S13"/>
      <c r="T13"/>
      <c r="U13"/>
      <c r="V13"/>
      <c r="W13"/>
      <c r="Y13"/>
      <c r="Z13"/>
      <c r="AA13"/>
      <c r="AB13"/>
      <c r="AC13"/>
      <c r="AD13"/>
    </row>
    <row r="14" spans="1:30" ht="25.05" customHeight="1">
      <c r="A14" s="94">
        <f>IF($A13="","",IF($A13+1&lt;=DAY(EOMONTH(DATE(HOLIDAYS!$E$3,HOLIDAYS!$E$2,1),0)),$A13+1,""))</f>
        <v>9</v>
      </c>
      <c r="B14" s="64"/>
      <c r="C14" s="119"/>
      <c r="D14" s="120"/>
      <c r="E14" s="121"/>
      <c r="F14" s="122"/>
      <c r="G14" s="123"/>
      <c r="H14" s="66"/>
      <c r="I14" s="115"/>
      <c r="J14" s="115"/>
      <c r="K14" s="115"/>
      <c r="L14" s="115"/>
      <c r="M14" s="116"/>
      <c r="N14" s="117" t="str">
        <f t="shared" si="0"/>
        <v/>
      </c>
      <c r="O14" s="118"/>
      <c r="P14" s="95" t="str">
        <f t="shared" si="1"/>
        <v/>
      </c>
      <c r="Q14" s="67"/>
      <c r="R14"/>
      <c r="S14"/>
      <c r="T14"/>
      <c r="U14"/>
      <c r="V14"/>
      <c r="W14"/>
      <c r="Y14"/>
      <c r="Z14"/>
      <c r="AA14"/>
      <c r="AB14"/>
      <c r="AC14"/>
      <c r="AD14"/>
    </row>
    <row r="15" spans="1:30" ht="25.05" customHeight="1">
      <c r="A15" s="94">
        <f>IF($A14="","",IF($A14+1&lt;=DAY(EOMONTH(DATE(HOLIDAYS!$E$3,HOLIDAYS!$E$2,1),0)),$A14+1,""))</f>
        <v>10</v>
      </c>
      <c r="B15" s="64"/>
      <c r="C15" s="119"/>
      <c r="D15" s="120"/>
      <c r="E15" s="121"/>
      <c r="F15" s="122"/>
      <c r="G15" s="123"/>
      <c r="H15" s="66"/>
      <c r="I15" s="115"/>
      <c r="J15" s="115"/>
      <c r="K15" s="115"/>
      <c r="L15" s="115"/>
      <c r="M15" s="116"/>
      <c r="N15" s="117" t="str">
        <f t="shared" si="0"/>
        <v/>
      </c>
      <c r="O15" s="118"/>
      <c r="P15" s="95" t="str">
        <f t="shared" si="1"/>
        <v/>
      </c>
      <c r="Q15" s="67"/>
      <c r="R15"/>
      <c r="S15"/>
      <c r="T15"/>
      <c r="U15"/>
      <c r="V15"/>
      <c r="W15"/>
      <c r="Y15"/>
      <c r="Z15"/>
      <c r="AA15"/>
      <c r="AB15"/>
      <c r="AC15"/>
      <c r="AD15"/>
    </row>
    <row r="16" spans="1:30" s="16" customFormat="1" ht="25.05" customHeight="1">
      <c r="A16" s="94">
        <f>IF($A15="","",IF($A15+1&lt;=DAY(EOMONTH(DATE(HOLIDAYS!$E$3,HOLIDAYS!$E$2,1),0)),$A15+1,""))</f>
        <v>11</v>
      </c>
      <c r="B16" s="64"/>
      <c r="C16" s="119"/>
      <c r="D16" s="120"/>
      <c r="E16" s="121"/>
      <c r="F16" s="122"/>
      <c r="G16" s="123"/>
      <c r="H16" s="66"/>
      <c r="I16" s="115"/>
      <c r="J16" s="115"/>
      <c r="K16" s="115"/>
      <c r="L16" s="115"/>
      <c r="M16" s="116"/>
      <c r="N16" s="117" t="str">
        <f t="shared" si="0"/>
        <v/>
      </c>
      <c r="O16" s="118"/>
      <c r="P16" s="95" t="str">
        <f t="shared" si="1"/>
        <v/>
      </c>
      <c r="Q16" s="67"/>
      <c r="R16"/>
      <c r="S16"/>
      <c r="T16"/>
      <c r="U16"/>
      <c r="V16"/>
      <c r="W16"/>
      <c r="Y16"/>
      <c r="Z16"/>
      <c r="AA16"/>
      <c r="AB16"/>
      <c r="AC16"/>
      <c r="AD16"/>
    </row>
    <row r="17" spans="1:30" ht="25.05" customHeight="1">
      <c r="A17" s="94">
        <f>IF($A16="","",IF($A16+1&lt;=DAY(EOMONTH(DATE(HOLIDAYS!$E$3,HOLIDAYS!$E$2,1),0)),$A16+1,""))</f>
        <v>12</v>
      </c>
      <c r="B17" s="64"/>
      <c r="C17" s="119"/>
      <c r="D17" s="120"/>
      <c r="E17" s="121"/>
      <c r="F17" s="122"/>
      <c r="G17" s="123"/>
      <c r="H17" s="66"/>
      <c r="I17" s="115"/>
      <c r="J17" s="115"/>
      <c r="K17" s="115"/>
      <c r="L17" s="115"/>
      <c r="M17" s="116"/>
      <c r="N17" s="117" t="str">
        <f t="shared" si="0"/>
        <v/>
      </c>
      <c r="O17" s="118"/>
      <c r="P17" s="95" t="str">
        <f t="shared" si="1"/>
        <v/>
      </c>
      <c r="Q17" s="67"/>
      <c r="R17"/>
      <c r="S17"/>
      <c r="T17"/>
      <c r="U17"/>
      <c r="V17"/>
      <c r="W17"/>
      <c r="Y17"/>
      <c r="Z17"/>
      <c r="AA17"/>
      <c r="AB17"/>
      <c r="AC17"/>
      <c r="AD17"/>
    </row>
    <row r="18" spans="1:30" ht="25.05" customHeight="1">
      <c r="A18" s="94">
        <f>IF($A17="","",IF($A17+1&lt;=DAY(EOMONTH(DATE(HOLIDAYS!$E$3,HOLIDAYS!$E$2,1),0)),$A17+1,""))</f>
        <v>13</v>
      </c>
      <c r="B18" s="64"/>
      <c r="C18" s="119"/>
      <c r="D18" s="120"/>
      <c r="E18" s="121"/>
      <c r="F18" s="122"/>
      <c r="G18" s="123"/>
      <c r="H18" s="66"/>
      <c r="I18" s="115"/>
      <c r="J18" s="115"/>
      <c r="K18" s="115"/>
      <c r="L18" s="115"/>
      <c r="M18" s="116"/>
      <c r="N18" s="117" t="str">
        <f t="shared" si="0"/>
        <v/>
      </c>
      <c r="O18" s="118"/>
      <c r="P18" s="95" t="str">
        <f t="shared" si="1"/>
        <v/>
      </c>
      <c r="Q18" s="67"/>
      <c r="R18"/>
      <c r="S18"/>
      <c r="T18"/>
      <c r="U18"/>
      <c r="V18"/>
      <c r="W18"/>
      <c r="Y18"/>
      <c r="Z18"/>
      <c r="AA18"/>
      <c r="AB18"/>
      <c r="AC18"/>
      <c r="AD18"/>
    </row>
    <row r="19" spans="1:30" ht="25.05" customHeight="1">
      <c r="A19" s="94">
        <f>IF($A18="","",IF($A18+1&lt;=DAY(EOMONTH(DATE(HOLIDAYS!$E$3,HOLIDAYS!$E$2,1),0)),$A18+1,""))</f>
        <v>14</v>
      </c>
      <c r="B19" s="64"/>
      <c r="C19" s="119"/>
      <c r="D19" s="120"/>
      <c r="E19" s="121"/>
      <c r="F19" s="122"/>
      <c r="G19" s="123"/>
      <c r="H19" s="66"/>
      <c r="I19" s="115"/>
      <c r="J19" s="115"/>
      <c r="K19" s="115"/>
      <c r="L19" s="115"/>
      <c r="M19" s="116"/>
      <c r="N19" s="117" t="str">
        <f t="shared" si="0"/>
        <v/>
      </c>
      <c r="O19" s="118"/>
      <c r="P19" s="95" t="str">
        <f t="shared" si="1"/>
        <v/>
      </c>
      <c r="Q19" s="67"/>
      <c r="R19"/>
      <c r="S19"/>
      <c r="T19"/>
      <c r="U19"/>
      <c r="V19"/>
      <c r="W19"/>
      <c r="Y19"/>
      <c r="Z19"/>
      <c r="AA19"/>
      <c r="AB19"/>
      <c r="AC19"/>
      <c r="AD19"/>
    </row>
    <row r="20" spans="1:30" ht="25.05" customHeight="1">
      <c r="A20" s="94">
        <f>IF($A19="","",IF($A19+1&lt;=DAY(EOMONTH(DATE(HOLIDAYS!$E$3,HOLIDAYS!$E$2,1),0)),$A19+1,""))</f>
        <v>15</v>
      </c>
      <c r="B20" s="64"/>
      <c r="C20" s="119"/>
      <c r="D20" s="120"/>
      <c r="E20" s="121"/>
      <c r="F20" s="122"/>
      <c r="G20" s="123"/>
      <c r="H20" s="66"/>
      <c r="I20" s="115"/>
      <c r="J20" s="115"/>
      <c r="K20" s="115"/>
      <c r="L20" s="115"/>
      <c r="M20" s="116"/>
      <c r="N20" s="117" t="str">
        <f t="shared" si="0"/>
        <v/>
      </c>
      <c r="O20" s="118"/>
      <c r="P20" s="95" t="str">
        <f t="shared" si="1"/>
        <v/>
      </c>
      <c r="Q20" s="67"/>
      <c r="R20"/>
      <c r="S20"/>
      <c r="T20"/>
      <c r="U20"/>
      <c r="V20"/>
      <c r="W20"/>
      <c r="Y20"/>
      <c r="Z20"/>
      <c r="AA20"/>
      <c r="AB20"/>
      <c r="AC20"/>
      <c r="AD20"/>
    </row>
    <row r="21" spans="1:30" ht="25.05" customHeight="1">
      <c r="A21" s="94">
        <f>IF($A20="","",IF($A20+1&lt;=DAY(EOMONTH(DATE(HOLIDAYS!$E$3,HOLIDAYS!$E$2,1),0)),$A20+1,""))</f>
        <v>16</v>
      </c>
      <c r="B21" s="64"/>
      <c r="C21" s="119"/>
      <c r="D21" s="120"/>
      <c r="E21" s="121"/>
      <c r="F21" s="122"/>
      <c r="G21" s="123"/>
      <c r="H21" s="66"/>
      <c r="I21" s="115"/>
      <c r="J21" s="115"/>
      <c r="K21" s="115"/>
      <c r="L21" s="115"/>
      <c r="M21" s="116"/>
      <c r="N21" s="117" t="str">
        <f t="shared" si="0"/>
        <v/>
      </c>
      <c r="O21" s="118"/>
      <c r="P21" s="95" t="str">
        <f t="shared" si="1"/>
        <v/>
      </c>
      <c r="Q21" s="67"/>
      <c r="R21"/>
      <c r="S21"/>
      <c r="T21"/>
      <c r="U21"/>
      <c r="V21"/>
      <c r="W21"/>
      <c r="Y21"/>
      <c r="Z21"/>
      <c r="AA21"/>
      <c r="AB21"/>
      <c r="AC21"/>
      <c r="AD21"/>
    </row>
    <row r="22" spans="1:30" ht="25.05" customHeight="1">
      <c r="A22" s="94">
        <f>IF($A21="","",IF($A21+1&lt;=DAY(EOMONTH(DATE(HOLIDAYS!$E$3,HOLIDAYS!$E$2,1),0)),$A21+1,""))</f>
        <v>17</v>
      </c>
      <c r="B22" s="64"/>
      <c r="C22" s="119"/>
      <c r="D22" s="120"/>
      <c r="E22" s="121"/>
      <c r="F22" s="122"/>
      <c r="G22" s="123"/>
      <c r="H22" s="66"/>
      <c r="I22" s="115"/>
      <c r="J22" s="115"/>
      <c r="K22" s="115"/>
      <c r="L22" s="115"/>
      <c r="M22" s="116"/>
      <c r="N22" s="117" t="str">
        <f t="shared" si="0"/>
        <v/>
      </c>
      <c r="O22" s="118"/>
      <c r="P22" s="95" t="str">
        <f t="shared" si="1"/>
        <v/>
      </c>
      <c r="Q22" s="67"/>
      <c r="R22"/>
      <c r="S22"/>
      <c r="T22"/>
      <c r="U22"/>
      <c r="V22"/>
      <c r="W22"/>
      <c r="Y22"/>
      <c r="Z22"/>
      <c r="AA22"/>
      <c r="AB22"/>
      <c r="AC22"/>
      <c r="AD22"/>
    </row>
    <row r="23" spans="1:30" ht="25.05" customHeight="1">
      <c r="A23" s="94">
        <f>IF($A22="","",IF($A22+1&lt;=DAY(EOMONTH(DATE(HOLIDAYS!$E$3,HOLIDAYS!$E$2,1),0)),$A22+1,""))</f>
        <v>18</v>
      </c>
      <c r="B23" s="64"/>
      <c r="C23" s="119"/>
      <c r="D23" s="120"/>
      <c r="E23" s="121"/>
      <c r="F23" s="122"/>
      <c r="G23" s="123"/>
      <c r="H23" s="66"/>
      <c r="I23" s="115"/>
      <c r="J23" s="115"/>
      <c r="K23" s="115"/>
      <c r="L23" s="115"/>
      <c r="M23" s="116"/>
      <c r="N23" s="117" t="str">
        <f t="shared" si="0"/>
        <v/>
      </c>
      <c r="O23" s="118"/>
      <c r="P23" s="95" t="str">
        <f t="shared" si="1"/>
        <v/>
      </c>
      <c r="Q23" s="67"/>
      <c r="R23"/>
      <c r="S23"/>
      <c r="T23"/>
      <c r="U23"/>
      <c r="V23"/>
      <c r="W23"/>
      <c r="Y23"/>
      <c r="Z23"/>
      <c r="AA23"/>
      <c r="AB23"/>
      <c r="AC23"/>
      <c r="AD23"/>
    </row>
    <row r="24" spans="1:30" ht="25.05" customHeight="1">
      <c r="A24" s="94">
        <f>IF($A23="","",IF($A23+1&lt;=DAY(EOMONTH(DATE(HOLIDAYS!$E$3,HOLIDAYS!$E$2,1),0)),$A23+1,""))</f>
        <v>19</v>
      </c>
      <c r="B24" s="64"/>
      <c r="C24" s="119"/>
      <c r="D24" s="120"/>
      <c r="E24" s="121"/>
      <c r="F24" s="122"/>
      <c r="G24" s="123"/>
      <c r="H24" s="66"/>
      <c r="I24" s="115"/>
      <c r="J24" s="115"/>
      <c r="K24" s="115"/>
      <c r="L24" s="115"/>
      <c r="M24" s="116"/>
      <c r="N24" s="117" t="str">
        <f t="shared" si="0"/>
        <v/>
      </c>
      <c r="O24" s="118"/>
      <c r="P24" s="95" t="str">
        <f t="shared" si="1"/>
        <v/>
      </c>
      <c r="Q24" s="67"/>
      <c r="R24"/>
      <c r="S24"/>
      <c r="T24"/>
      <c r="U24"/>
      <c r="V24"/>
      <c r="W24"/>
      <c r="Y24"/>
      <c r="Z24"/>
      <c r="AA24"/>
      <c r="AB24"/>
      <c r="AC24"/>
      <c r="AD24"/>
    </row>
    <row r="25" spans="1:30" ht="25.05" customHeight="1">
      <c r="A25" s="94">
        <f>IF($A24="","",IF($A24+1&lt;=DAY(EOMONTH(DATE(HOLIDAYS!$E$3,HOLIDAYS!$E$2,1),0)),$A24+1,""))</f>
        <v>20</v>
      </c>
      <c r="B25" s="64"/>
      <c r="C25" s="119"/>
      <c r="D25" s="120"/>
      <c r="E25" s="121"/>
      <c r="F25" s="122"/>
      <c r="G25" s="123"/>
      <c r="H25" s="66"/>
      <c r="I25" s="115"/>
      <c r="J25" s="115"/>
      <c r="K25" s="115"/>
      <c r="L25" s="115"/>
      <c r="M25" s="116"/>
      <c r="N25" s="117" t="str">
        <f t="shared" si="0"/>
        <v/>
      </c>
      <c r="O25" s="118"/>
      <c r="P25" s="95" t="str">
        <f t="shared" si="1"/>
        <v/>
      </c>
      <c r="Q25" s="67"/>
      <c r="R25"/>
      <c r="S25"/>
      <c r="T25"/>
      <c r="U25"/>
      <c r="V25"/>
      <c r="W25"/>
      <c r="Y25"/>
      <c r="Z25"/>
      <c r="AA25"/>
      <c r="AB25"/>
      <c r="AC25"/>
      <c r="AD25"/>
    </row>
    <row r="26" spans="1:30" ht="25.05" customHeight="1">
      <c r="A26" s="94">
        <f>IF($A25="","",IF($A25+1&lt;=DAY(EOMONTH(DATE(HOLIDAYS!$E$3,HOLIDAYS!$E$2,1),0)),$A25+1,""))</f>
        <v>21</v>
      </c>
      <c r="B26" s="64"/>
      <c r="C26" s="119"/>
      <c r="D26" s="120"/>
      <c r="E26" s="121"/>
      <c r="F26" s="122"/>
      <c r="G26" s="123"/>
      <c r="H26" s="66"/>
      <c r="I26" s="115"/>
      <c r="J26" s="115"/>
      <c r="K26" s="115"/>
      <c r="L26" s="115"/>
      <c r="M26" s="116"/>
      <c r="N26" s="117" t="str">
        <f t="shared" si="0"/>
        <v/>
      </c>
      <c r="O26" s="118"/>
      <c r="P26" s="95" t="str">
        <f t="shared" si="1"/>
        <v/>
      </c>
      <c r="Q26" s="67"/>
      <c r="R26"/>
      <c r="S26"/>
      <c r="T26"/>
      <c r="U26"/>
      <c r="V26"/>
      <c r="W26"/>
      <c r="Y26"/>
      <c r="Z26"/>
      <c r="AA26"/>
      <c r="AB26"/>
      <c r="AC26"/>
      <c r="AD26"/>
    </row>
    <row r="27" spans="1:30" ht="25.05" customHeight="1">
      <c r="A27" s="94">
        <f>IF($A26="","",IF($A26+1&lt;=DAY(EOMONTH(DATE(HOLIDAYS!$E$3,HOLIDAYS!$E$2,1),0)),$A26+1,""))</f>
        <v>22</v>
      </c>
      <c r="B27" s="64"/>
      <c r="C27" s="119"/>
      <c r="D27" s="120"/>
      <c r="E27" s="121"/>
      <c r="F27" s="122"/>
      <c r="G27" s="123"/>
      <c r="H27" s="66"/>
      <c r="I27" s="115"/>
      <c r="J27" s="115"/>
      <c r="K27" s="115"/>
      <c r="L27" s="115"/>
      <c r="M27" s="116"/>
      <c r="N27" s="117" t="str">
        <f t="shared" si="0"/>
        <v/>
      </c>
      <c r="O27" s="118"/>
      <c r="P27" s="95" t="str">
        <f t="shared" si="1"/>
        <v/>
      </c>
      <c r="Q27" s="67"/>
      <c r="R27"/>
      <c r="S27"/>
      <c r="T27"/>
      <c r="U27"/>
      <c r="V27"/>
      <c r="W27"/>
      <c r="Y27"/>
      <c r="Z27"/>
      <c r="AA27"/>
      <c r="AB27"/>
      <c r="AC27"/>
      <c r="AD27"/>
    </row>
    <row r="28" spans="1:30" ht="25.05" customHeight="1">
      <c r="A28" s="94">
        <f>IF($A27="","",IF($A27+1&lt;=DAY(EOMONTH(DATE(HOLIDAYS!$E$3,HOLIDAYS!$E$2,1),0)),$A27+1,""))</f>
        <v>23</v>
      </c>
      <c r="B28" s="64"/>
      <c r="C28" s="119"/>
      <c r="D28" s="120"/>
      <c r="E28" s="121"/>
      <c r="F28" s="122"/>
      <c r="G28" s="123"/>
      <c r="H28" s="66"/>
      <c r="I28" s="115"/>
      <c r="J28" s="115"/>
      <c r="K28" s="115"/>
      <c r="L28" s="115"/>
      <c r="M28" s="116"/>
      <c r="N28" s="117" t="str">
        <f t="shared" si="0"/>
        <v/>
      </c>
      <c r="O28" s="118"/>
      <c r="P28" s="95" t="str">
        <f t="shared" si="1"/>
        <v/>
      </c>
      <c r="Q28" s="67"/>
      <c r="R28"/>
      <c r="S28"/>
      <c r="T28"/>
      <c r="U28"/>
      <c r="V28"/>
      <c r="W28"/>
      <c r="Y28"/>
      <c r="Z28"/>
      <c r="AA28"/>
      <c r="AB28"/>
      <c r="AC28"/>
      <c r="AD28"/>
    </row>
    <row r="29" spans="1:30" ht="25.05" customHeight="1">
      <c r="A29" s="94">
        <f>IF($A28="","",IF($A28+1&lt;=DAY(EOMONTH(DATE(HOLIDAYS!$E$3,HOLIDAYS!$E$2,1),0)),$A28+1,""))</f>
        <v>24</v>
      </c>
      <c r="B29" s="64"/>
      <c r="C29" s="119"/>
      <c r="D29" s="120"/>
      <c r="E29" s="121"/>
      <c r="F29" s="122"/>
      <c r="G29" s="123"/>
      <c r="H29" s="66"/>
      <c r="I29" s="115"/>
      <c r="J29" s="115"/>
      <c r="K29" s="115"/>
      <c r="L29" s="115"/>
      <c r="M29" s="116"/>
      <c r="N29" s="117" t="str">
        <f t="shared" si="0"/>
        <v/>
      </c>
      <c r="O29" s="118"/>
      <c r="P29" s="95" t="str">
        <f t="shared" si="1"/>
        <v/>
      </c>
      <c r="Q29" s="67"/>
      <c r="R29"/>
      <c r="S29"/>
      <c r="T29"/>
      <c r="U29"/>
      <c r="V29"/>
      <c r="W29"/>
      <c r="Y29"/>
      <c r="Z29"/>
      <c r="AA29"/>
      <c r="AB29"/>
      <c r="AC29"/>
      <c r="AD29"/>
    </row>
    <row r="30" spans="1:30" ht="25.05" customHeight="1">
      <c r="A30" s="94">
        <f>IF($A29="","",IF($A29+1&lt;=DAY(EOMONTH(DATE(HOLIDAYS!$E$3,HOLIDAYS!$E$2,1),0)),$A29+1,""))</f>
        <v>25</v>
      </c>
      <c r="B30" s="64"/>
      <c r="C30" s="119"/>
      <c r="D30" s="120"/>
      <c r="E30" s="121"/>
      <c r="F30" s="122"/>
      <c r="G30" s="123"/>
      <c r="H30" s="66"/>
      <c r="I30" s="115"/>
      <c r="J30" s="115"/>
      <c r="K30" s="115"/>
      <c r="L30" s="115"/>
      <c r="M30" s="116"/>
      <c r="N30" s="117" t="str">
        <f t="shared" si="0"/>
        <v/>
      </c>
      <c r="O30" s="118"/>
      <c r="P30" s="95" t="str">
        <f t="shared" si="1"/>
        <v/>
      </c>
      <c r="Q30" s="67"/>
      <c r="R30"/>
      <c r="S30"/>
      <c r="T30"/>
      <c r="U30"/>
      <c r="V30"/>
      <c r="W30"/>
      <c r="Y30"/>
      <c r="Z30"/>
      <c r="AA30"/>
      <c r="AB30"/>
      <c r="AC30"/>
      <c r="AD30"/>
    </row>
    <row r="31" spans="1:30" ht="25.05" customHeight="1">
      <c r="A31" s="94">
        <f>IF($A30="","",IF($A30+1&lt;=DAY(EOMONTH(DATE(HOLIDAYS!$E$3,HOLIDAYS!$E$2,1),0)),$A30+1,""))</f>
        <v>26</v>
      </c>
      <c r="B31" s="68"/>
      <c r="C31" s="125"/>
      <c r="D31" s="126"/>
      <c r="E31" s="121"/>
      <c r="F31" s="122"/>
      <c r="G31" s="123"/>
      <c r="H31" s="66"/>
      <c r="I31" s="115"/>
      <c r="J31" s="115"/>
      <c r="K31" s="115"/>
      <c r="L31" s="115"/>
      <c r="M31" s="116"/>
      <c r="N31" s="117" t="str">
        <f t="shared" si="0"/>
        <v/>
      </c>
      <c r="O31" s="118"/>
      <c r="P31" s="95" t="str">
        <f t="shared" si="1"/>
        <v/>
      </c>
      <c r="Q31" s="67"/>
      <c r="R31"/>
      <c r="S31"/>
      <c r="T31"/>
      <c r="U31"/>
      <c r="V31"/>
      <c r="W31"/>
      <c r="Y31"/>
      <c r="Z31"/>
      <c r="AA31"/>
      <c r="AB31"/>
      <c r="AC31"/>
      <c r="AD31"/>
    </row>
    <row r="32" spans="1:30" ht="25.05" customHeight="1">
      <c r="A32" s="94">
        <f>IF($A31="","",IF($A31+1&lt;=DAY(EOMONTH(DATE(HOLIDAYS!$E$3,HOLIDAYS!$E$2,1),0)),$A31+1,""))</f>
        <v>27</v>
      </c>
      <c r="B32" s="68"/>
      <c r="C32" s="125"/>
      <c r="D32" s="126"/>
      <c r="E32" s="121"/>
      <c r="F32" s="122"/>
      <c r="G32" s="123"/>
      <c r="H32" s="66"/>
      <c r="I32" s="115"/>
      <c r="J32" s="115"/>
      <c r="K32" s="115"/>
      <c r="L32" s="115"/>
      <c r="M32" s="116"/>
      <c r="N32" s="117" t="str">
        <f t="shared" si="0"/>
        <v/>
      </c>
      <c r="O32" s="118"/>
      <c r="P32" s="95" t="str">
        <f t="shared" si="1"/>
        <v/>
      </c>
      <c r="Q32" s="67"/>
      <c r="R32"/>
      <c r="S32"/>
      <c r="T32"/>
      <c r="U32"/>
      <c r="V32"/>
      <c r="W32"/>
      <c r="Y32"/>
      <c r="Z32"/>
      <c r="AA32"/>
      <c r="AB32"/>
      <c r="AC32"/>
      <c r="AD32"/>
    </row>
    <row r="33" spans="1:30" ht="25.05" customHeight="1">
      <c r="A33" s="94">
        <f>IF($A32="","",IF($A32+1&lt;=DAY(EOMONTH(DATE(HOLIDAYS!$E$3,HOLIDAYS!$E$2,1),0)),$A32+1,""))</f>
        <v>28</v>
      </c>
      <c r="B33" s="68"/>
      <c r="C33" s="125"/>
      <c r="D33" s="126"/>
      <c r="E33" s="121"/>
      <c r="F33" s="122"/>
      <c r="G33" s="123"/>
      <c r="H33" s="66"/>
      <c r="I33" s="115"/>
      <c r="J33" s="115"/>
      <c r="K33" s="115"/>
      <c r="L33" s="115"/>
      <c r="M33" s="116"/>
      <c r="N33" s="117" t="str">
        <f t="shared" si="0"/>
        <v/>
      </c>
      <c r="O33" s="118"/>
      <c r="P33" s="95" t="str">
        <f t="shared" si="1"/>
        <v/>
      </c>
      <c r="Q33" s="67"/>
      <c r="R33"/>
      <c r="S33"/>
      <c r="T33"/>
      <c r="U33"/>
      <c r="V33"/>
      <c r="W33"/>
      <c r="Y33"/>
      <c r="Z33"/>
      <c r="AA33"/>
      <c r="AB33"/>
      <c r="AC33"/>
      <c r="AD33"/>
    </row>
    <row r="34" spans="1:30" ht="25.05" customHeight="1">
      <c r="A34" s="94">
        <f>IF($A33="","",IF($A33+1&lt;=DAY(EOMONTH(DATE(HOLIDAYS!$E$3,HOLIDAYS!$E$2,1),0)),$A33+1,""))</f>
        <v>29</v>
      </c>
      <c r="B34" s="68"/>
      <c r="C34" s="125"/>
      <c r="D34" s="126"/>
      <c r="E34" s="121"/>
      <c r="F34" s="122"/>
      <c r="G34" s="123"/>
      <c r="H34" s="66"/>
      <c r="I34" s="115"/>
      <c r="J34" s="115"/>
      <c r="K34" s="115"/>
      <c r="L34" s="115"/>
      <c r="M34" s="116"/>
      <c r="N34" s="117" t="str">
        <f t="shared" si="0"/>
        <v/>
      </c>
      <c r="O34" s="118"/>
      <c r="P34" s="95" t="str">
        <f t="shared" si="1"/>
        <v/>
      </c>
      <c r="Q34" s="67"/>
      <c r="R34"/>
      <c r="S34"/>
      <c r="T34"/>
      <c r="U34"/>
      <c r="V34"/>
      <c r="W34"/>
      <c r="Y34"/>
      <c r="Z34"/>
      <c r="AA34"/>
      <c r="AB34"/>
      <c r="AC34"/>
      <c r="AD34"/>
    </row>
    <row r="35" spans="1:30" ht="25.05" customHeight="1">
      <c r="A35" s="94">
        <f>IF($A34="","",IF($A34+1&lt;=DAY(EOMONTH(DATE(HOLIDAYS!$E$3,HOLIDAYS!$E$2,1),0)),$A34+1,""))</f>
        <v>30</v>
      </c>
      <c r="B35" s="64"/>
      <c r="C35" s="119"/>
      <c r="D35" s="120"/>
      <c r="E35" s="121"/>
      <c r="F35" s="122"/>
      <c r="G35" s="123"/>
      <c r="H35" s="66"/>
      <c r="I35" s="115"/>
      <c r="J35" s="115"/>
      <c r="K35" s="115"/>
      <c r="L35" s="115"/>
      <c r="M35" s="116"/>
      <c r="N35" s="117" t="str">
        <f t="shared" si="0"/>
        <v/>
      </c>
      <c r="O35" s="118"/>
      <c r="P35" s="95" t="str">
        <f t="shared" si="1"/>
        <v/>
      </c>
      <c r="Q35" s="67"/>
      <c r="R35"/>
      <c r="S35"/>
      <c r="T35"/>
      <c r="U35"/>
      <c r="V35"/>
      <c r="W35"/>
      <c r="Y35"/>
      <c r="Z35"/>
      <c r="AA35"/>
      <c r="AB35"/>
      <c r="AC35"/>
      <c r="AD35"/>
    </row>
    <row r="36" spans="1:30" ht="25.05" customHeight="1">
      <c r="A36" s="94">
        <f>IF($A35="","",IF($A35+1&lt;=DAY(EOMONTH(DATE(HOLIDAYS!$E$3,HOLIDAYS!$E$2,1),0)),$A35+1,""))</f>
        <v>31</v>
      </c>
      <c r="B36" s="64"/>
      <c r="C36" s="119"/>
      <c r="D36" s="120"/>
      <c r="E36" s="121"/>
      <c r="F36" s="122"/>
      <c r="G36" s="123"/>
      <c r="H36" s="66"/>
      <c r="I36" s="115"/>
      <c r="J36" s="115"/>
      <c r="K36" s="115"/>
      <c r="L36" s="115"/>
      <c r="M36" s="116"/>
      <c r="N36" s="117" t="str">
        <f t="shared" si="0"/>
        <v/>
      </c>
      <c r="O36" s="118"/>
      <c r="P36" s="95" t="str">
        <f t="shared" si="1"/>
        <v/>
      </c>
      <c r="Q36" s="67"/>
      <c r="R36"/>
      <c r="S36"/>
      <c r="T36"/>
      <c r="U36"/>
      <c r="V36"/>
      <c r="W36"/>
      <c r="Y36"/>
      <c r="Z36"/>
      <c r="AA36"/>
      <c r="AB36"/>
      <c r="AC36"/>
      <c r="AD36"/>
    </row>
    <row r="37" spans="1:30" ht="25.05" hidden="1" customHeight="1">
      <c r="A37" s="94" t="str">
        <f>IF($A36="","",IF($A36+1&lt;=DAY(EOMONTH(DATE(HOLIDAYS!$E$3,HOLIDAYS!$E$2,1),0)),$A36+1,""))</f>
        <v/>
      </c>
      <c r="B37" s="64"/>
      <c r="C37" s="119"/>
      <c r="D37" s="120"/>
      <c r="E37" s="121" t="str">
        <f>IF($A37="","",IF(WEEKDAY(DATE(HOLIDAYS!$E$3,HOLIDAYS!$E$2,$A37),2)=6,"หยุดวันเสาร์",IF(WEEKDAY(DATE(HOLIDAYS!$E$3,HOLIDAYS!$E$2,$A37),2)=7,"หยุดวันอาทิตย์",IF(COUNTIF(HOLIDAYS!$A$5:$A$199,DATE(HOLIDAYS!$E$3,HOLIDAYS!$E$2,$A37))&gt;0,"หยุดวันนักขัตฤกษ์",""))))</f>
        <v/>
      </c>
      <c r="F37" s="122"/>
      <c r="G37" s="123"/>
      <c r="H37" s="66"/>
      <c r="I37" s="115"/>
      <c r="J37" s="115"/>
      <c r="K37" s="115"/>
      <c r="L37" s="115"/>
      <c r="M37" s="116"/>
      <c r="N37" s="117" t="str">
        <f t="shared" si="0"/>
        <v/>
      </c>
      <c r="O37" s="118"/>
      <c r="P37" s="95" t="str">
        <f t="shared" si="1"/>
        <v/>
      </c>
      <c r="Q37" s="67"/>
      <c r="R37"/>
      <c r="S37"/>
      <c r="T37"/>
      <c r="U37"/>
      <c r="V37"/>
      <c r="W37"/>
      <c r="Y37"/>
      <c r="Z37"/>
      <c r="AA37"/>
      <c r="AB37"/>
      <c r="AC37"/>
      <c r="AD37"/>
    </row>
    <row r="38" spans="1:30" ht="25.05" hidden="1" customHeight="1">
      <c r="A38" s="65"/>
      <c r="B38" s="64"/>
      <c r="C38" s="119"/>
      <c r="D38" s="120"/>
      <c r="E38" s="121"/>
      <c r="F38" s="122"/>
      <c r="G38" s="123"/>
      <c r="H38" s="66"/>
      <c r="I38" s="115"/>
      <c r="J38" s="115"/>
      <c r="K38" s="115"/>
      <c r="L38" s="115"/>
      <c r="M38" s="116"/>
      <c r="N38" s="117" t="str">
        <f t="shared" si="0"/>
        <v/>
      </c>
      <c r="O38" s="118"/>
      <c r="P38" s="96" t="str">
        <f t="shared" si="1"/>
        <v/>
      </c>
      <c r="Q38" s="56"/>
      <c r="R38"/>
      <c r="S38"/>
      <c r="T38"/>
      <c r="U38"/>
      <c r="V38"/>
      <c r="W38"/>
      <c r="Y38"/>
      <c r="Z38"/>
      <c r="AA38"/>
      <c r="AB38"/>
      <c r="AC38"/>
      <c r="AD38"/>
    </row>
    <row r="39" spans="1:30" ht="25.05" customHeight="1">
      <c r="A39" s="69"/>
      <c r="B39" s="70"/>
      <c r="C39" s="71"/>
      <c r="D39" s="71"/>
      <c r="E39" s="72"/>
      <c r="F39" s="72"/>
      <c r="G39" s="72"/>
      <c r="H39" s="73" t="s">
        <v>47</v>
      </c>
      <c r="I39" s="72"/>
      <c r="J39" s="72"/>
      <c r="K39" s="72"/>
      <c r="L39" s="72"/>
      <c r="M39" s="74"/>
      <c r="N39" s="128">
        <f>INT((SUM(N6:O38)*60+SUM(P6:P38))/60)</f>
        <v>0</v>
      </c>
      <c r="O39" s="129"/>
      <c r="P39" s="75">
        <f>MOD(SUM(N6:O38)*60+SUM(P6:P38),60)</f>
        <v>0</v>
      </c>
      <c r="Q39" s="76"/>
      <c r="R39"/>
      <c r="S39"/>
      <c r="T39"/>
      <c r="U39"/>
      <c r="V39"/>
      <c r="W39"/>
      <c r="Y39"/>
      <c r="Z39"/>
      <c r="AA39"/>
      <c r="AB39"/>
      <c r="AC39"/>
      <c r="AD39"/>
    </row>
    <row r="40" spans="1:30" ht="25.05" customHeight="1">
      <c r="N40" s="127"/>
      <c r="O40" s="127"/>
      <c r="P40" s="18"/>
      <c r="U40" s="19"/>
      <c r="V40" s="20"/>
      <c r="W40" s="19"/>
    </row>
  </sheetData>
  <sheetProtection sheet="1" objects="1" scenarios="1" formatCells="0" formatColumns="0" formatRows="0" autoFilter="0"/>
  <mergeCells count="150">
    <mergeCell ref="C24:D24"/>
    <mergeCell ref="A4:A5"/>
    <mergeCell ref="B4:D4"/>
    <mergeCell ref="E4:G5"/>
    <mergeCell ref="H4:M5"/>
    <mergeCell ref="N4:P4"/>
    <mergeCell ref="C5:D5"/>
    <mergeCell ref="N5:O5"/>
    <mergeCell ref="N11:O11"/>
    <mergeCell ref="C23:D23"/>
    <mergeCell ref="C6:D6"/>
    <mergeCell ref="E6:G6"/>
    <mergeCell ref="N6:O6"/>
    <mergeCell ref="C7:D7"/>
    <mergeCell ref="E7:G7"/>
    <mergeCell ref="N7:O7"/>
    <mergeCell ref="C13:D13"/>
    <mergeCell ref="E13:G13"/>
    <mergeCell ref="N13:O13"/>
    <mergeCell ref="I6:M6"/>
    <mergeCell ref="I8:M8"/>
    <mergeCell ref="N14:O14"/>
    <mergeCell ref="C20:D20"/>
    <mergeCell ref="E20:G20"/>
    <mergeCell ref="N20:O20"/>
    <mergeCell ref="D1:L1"/>
    <mergeCell ref="M1:N1"/>
    <mergeCell ref="O1:P1"/>
    <mergeCell ref="B2:C2"/>
    <mergeCell ref="E2:F2"/>
    <mergeCell ref="I2:L2"/>
    <mergeCell ref="M2:N2"/>
    <mergeCell ref="O2:P2"/>
    <mergeCell ref="A3:P3"/>
    <mergeCell ref="E8:G8"/>
    <mergeCell ref="N8:O8"/>
    <mergeCell ref="C8:D8"/>
    <mergeCell ref="C11:D11"/>
    <mergeCell ref="E11:G11"/>
    <mergeCell ref="C9:D9"/>
    <mergeCell ref="E9:G9"/>
    <mergeCell ref="N9:O9"/>
    <mergeCell ref="N15:O15"/>
    <mergeCell ref="E10:G10"/>
    <mergeCell ref="C10:D10"/>
    <mergeCell ref="N10:O10"/>
    <mergeCell ref="N12:O12"/>
    <mergeCell ref="C14:D14"/>
    <mergeCell ref="N40:O40"/>
    <mergeCell ref="N39:O39"/>
    <mergeCell ref="C38:D38"/>
    <mergeCell ref="E38:G38"/>
    <mergeCell ref="N38:O38"/>
    <mergeCell ref="E19:G19"/>
    <mergeCell ref="C22:D22"/>
    <mergeCell ref="E22:G22"/>
    <mergeCell ref="C30:D30"/>
    <mergeCell ref="E30:G30"/>
    <mergeCell ref="C19:D19"/>
    <mergeCell ref="E34:G34"/>
    <mergeCell ref="N37:O37"/>
    <mergeCell ref="N34:O34"/>
    <mergeCell ref="C33:D33"/>
    <mergeCell ref="E33:G33"/>
    <mergeCell ref="N33:O33"/>
    <mergeCell ref="E23:G23"/>
    <mergeCell ref="C35:D35"/>
    <mergeCell ref="E35:G35"/>
    <mergeCell ref="N35:O35"/>
    <mergeCell ref="C36:D36"/>
    <mergeCell ref="E36:G36"/>
    <mergeCell ref="C37:D37"/>
    <mergeCell ref="E37:G37"/>
    <mergeCell ref="C34:D34"/>
    <mergeCell ref="C12:D12"/>
    <mergeCell ref="E12:G12"/>
    <mergeCell ref="C18:D18"/>
    <mergeCell ref="N19:O19"/>
    <mergeCell ref="C16:D16"/>
    <mergeCell ref="E15:G15"/>
    <mergeCell ref="C31:D31"/>
    <mergeCell ref="E31:G31"/>
    <mergeCell ref="N23:O23"/>
    <mergeCell ref="N25:O25"/>
    <mergeCell ref="N28:O28"/>
    <mergeCell ref="C29:D29"/>
    <mergeCell ref="E29:G29"/>
    <mergeCell ref="N29:O29"/>
    <mergeCell ref="C27:D27"/>
    <mergeCell ref="E27:G27"/>
    <mergeCell ref="N18:O18"/>
    <mergeCell ref="E18:G18"/>
    <mergeCell ref="C15:D15"/>
    <mergeCell ref="N16:O16"/>
    <mergeCell ref="N36:O36"/>
    <mergeCell ref="N31:O31"/>
    <mergeCell ref="N30:O30"/>
    <mergeCell ref="C25:D25"/>
    <mergeCell ref="E25:G25"/>
    <mergeCell ref="E16:G16"/>
    <mergeCell ref="E32:G32"/>
    <mergeCell ref="E14:G14"/>
    <mergeCell ref="E24:G24"/>
    <mergeCell ref="N24:O24"/>
    <mergeCell ref="C26:D26"/>
    <mergeCell ref="E26:G26"/>
    <mergeCell ref="N26:O26"/>
    <mergeCell ref="N32:O32"/>
    <mergeCell ref="C28:D28"/>
    <mergeCell ref="E28:G28"/>
    <mergeCell ref="C32:D32"/>
    <mergeCell ref="C21:D21"/>
    <mergeCell ref="E21:G21"/>
    <mergeCell ref="N21:O21"/>
    <mergeCell ref="C17:D17"/>
    <mergeCell ref="E17:G17"/>
    <mergeCell ref="N17:O17"/>
    <mergeCell ref="N27:O27"/>
    <mergeCell ref="N22:O22"/>
    <mergeCell ref="I24:M24"/>
    <mergeCell ref="I25:M25"/>
    <mergeCell ref="I7:M7"/>
    <mergeCell ref="I9:M9"/>
    <mergeCell ref="I10:M10"/>
    <mergeCell ref="I11:M11"/>
    <mergeCell ref="I12:M12"/>
    <mergeCell ref="I13:M13"/>
    <mergeCell ref="I14:M14"/>
    <mergeCell ref="I15:M15"/>
    <mergeCell ref="I16:M16"/>
    <mergeCell ref="I17:M17"/>
    <mergeCell ref="I18:M18"/>
    <mergeCell ref="I19:M19"/>
    <mergeCell ref="I20:M20"/>
    <mergeCell ref="I21:M21"/>
    <mergeCell ref="I22:M22"/>
    <mergeCell ref="I23:M23"/>
    <mergeCell ref="I35:M35"/>
    <mergeCell ref="I36:M36"/>
    <mergeCell ref="I37:M37"/>
    <mergeCell ref="I38:M38"/>
    <mergeCell ref="I26:M26"/>
    <mergeCell ref="I27:M27"/>
    <mergeCell ref="I28:M28"/>
    <mergeCell ref="I29:M29"/>
    <mergeCell ref="I30:M30"/>
    <mergeCell ref="I31:M31"/>
    <mergeCell ref="I32:M32"/>
    <mergeCell ref="I33:M33"/>
    <mergeCell ref="I34:M34"/>
  </mergeCells>
  <phoneticPr fontId="11" type="noConversion"/>
  <dataValidations xWindow="1043" yWindow="586" count="4">
    <dataValidation type="list" allowBlank="1" showInputMessage="1" showErrorMessage="1" errorTitle="ค่าไม่ถูกต้อง" error="เลือกได้เฉพาะ O.T. หรือ Extra Hours" promptTitle="ประเภทชั่วโมงส่วนเกิน" prompt="เลือก O.T. หรือ Extra Hours สำหรับชั่วโมงที่เกิน 8 ชม./วัน (เว้นว่างถ้าไม่มี)" sqref="Q6:Q37" xr:uid="{6EA4E137-58AC-4BEE-9422-0B2759719F5C}">
      <formula1>"O.T.,Extra Hours"</formula1>
    </dataValidation>
    <dataValidation type="list" allowBlank="1" showInputMessage="1" showErrorMessage="1" sqref="E6:E38" xr:uid="{D48AB813-64DB-40F5-8CCD-E841DE9315F6}">
      <formula1>ClientNameList</formula1>
    </dataValidation>
    <dataValidation type="list" allowBlank="1" showInputMessage="1" showErrorMessage="1" sqref="H6:H38" xr:uid="{8EDDBBAB-4C9A-4679-A8FE-D532A6B4125B}">
      <formula1>PeriodList</formula1>
    </dataValidation>
    <dataValidation type="list" allowBlank="1" showInputMessage="1" showErrorMessage="1" sqref="ACS37:ACS40 AMO22:AMO27 AWK22:AWK27 BGG22:BGG27 BQC22:BQC27 BZY22:BZY27 CJU22:CJU27 CTQ22:CTQ27 DDM22:DDM27 DNI22:DNI27 DXE22:DXE27 EHA22:EHA27 EQW22:EQW27 FAS22:FAS27 FKO22:FKO27 FUK22:FUK27 GEG22:GEG27 GOC22:GOC27 GXY22:GXY27 HHU22:HHU27 HRQ22:HRQ27 IBM22:IBM27 ILI22:ILI27 IVE22:IVE27 JFA22:JFA27 JOW22:JOW27 JYS22:JYS27 KIO22:KIO27 KSK22:KSK27 LCG22:LCG27 LMC22:LMC27 LVY22:LVY27 MFU22:MFU27 MPQ22:MPQ27 MZM22:MZM27 NJI22:NJI27 NTE22:NTE27 ODA22:ODA27 OMW22:OMW27 OWS22:OWS27 PGO22:PGO27 PQK22:PQK27 QAG22:QAG27 QKC22:QKC27 QTY22:QTY27 RDU22:RDU27 RNQ22:RNQ27 RXM22:RXM27 SHI22:SHI27 SRE22:SRE27 TBA22:TBA27 TKW22:TKW27 TUS22:TUS27 UEO22:UEO27 UOK22:UOK27 UYG22:UYG27 VIC22:VIC27 VRY22:VRY27 WBU22:WBU27 WLQ22:WLQ27 WVM22:WVM27 JA22:JA27 SW22:SW27 ACS22:ACS27 SW18:SW19 AMO18:AMO19 AWK18:AWK19 BGG18:BGG19 BQC18:BQC19 BZY18:BZY19 CJU18:CJU19 CTQ18:CTQ19 DDM18:DDM19 DNI18:DNI19 DXE18:DXE19 EHA18:EHA19 EQW18:EQW19 FAS18:FAS19 FKO18:FKO19 FUK18:FUK19 GEG18:GEG19 GOC18:GOC19 GXY18:GXY19 HHU18:HHU19 HRQ18:HRQ19 IBM18:IBM19 ILI18:ILI19 IVE18:IVE19 JFA18:JFA19 JOW18:JOW19 JYS18:JYS19 KIO18:KIO19 KSK18:KSK19 LCG18:LCG19 LMC18:LMC19 LVY18:LVY19 MFU18:MFU19 MPQ18:MPQ19 MZM18:MZM19 NJI18:NJI19 NTE18:NTE19 ODA18:ODA19 OMW18:OMW19 OWS18:OWS19 PGO18:PGO19 PQK18:PQK19 QAG18:QAG19 QKC18:QKC19 QTY18:QTY19 RDU18:RDU19 RNQ18:RNQ19 RXM18:RXM19 SHI18:SHI19 SRE18:SRE19 TBA18:TBA19 TKW18:TKW19 TUS18:TUS19 UEO18:UEO19 UOK18:UOK19 UYG18:UYG19 VIC18:VIC19 VRY18:VRY19 WBU18:WBU19 WLQ18:WLQ19 WVM18:WVM19 JA18:JA19 SW37:SW40 JA37:JA40 WVM37:WVM40 WLQ37:WLQ40 WBU37:WBU40 VRY37:VRY40 VIC37:VIC40 UYG37:UYG40 UOK37:UOK40 UEO37:UEO40 TUS37:TUS40 TKW37:TKW40 TBA37:TBA40 SRE37:SRE40 SHI37:SHI40 RXM37:RXM40 RNQ37:RNQ40 RDU37:RDU40 QTY37:QTY40 QKC37:QKC40 QAG37:QAG40 PQK37:PQK40 PGO37:PGO40 OWS37:OWS40 OMW37:OMW40 ODA37:ODA40 NTE37:NTE40 NJI37:NJI40 MZM37:MZM40 MPQ37:MPQ40 MFU37:MFU40 LVY37:LVY40 LMC37:LMC40 LCG37:LCG40 KSK37:KSK40 KIO37:KIO40 JYS37:JYS40 JOW37:JOW40 JFA37:JFA40 IVE37:IVE40 ILI37:ILI40 IBM37:IBM40 HRQ37:HRQ40 HHU37:HHU40 GXY37:GXY40 GOC37:GOC40 GEG37:GEG40 FUK37:FUK40 FKO37:FKO40 FAS37:FAS40 EQW37:EQW40 EHA37:EHA40 DXE37:DXE40 DNI37:DNI40 DDM37:DDM40 CTQ37:CTQ40 CJU37:CJU40 BZY37:BZY40 BQC37:BQC40 BGG37:BGG40 AWK37:AWK40 ACS18:ACS19 AMO30:AMO34 JA15:JA16 WVM15:WVM16 WLQ15:WLQ16 WBU15:WBU16 VRY15:VRY16 VIC15:VIC16 UYG15:UYG16 UOK15:UOK16 UEO15:UEO16 TUS15:TUS16 TKW15:TKW16 TBA15:TBA16 SRE15:SRE16 SHI15:SHI16 RXM15:RXM16 RNQ15:RNQ16 RDU15:RDU16 QTY15:QTY16 QKC15:QKC16 QAG15:QAG16 PQK15:PQK16 PGO15:PGO16 OWS15:OWS16 OMW15:OMW16 ODA15:ODA16 NTE15:NTE16 NJI15:NJI16 MZM15:MZM16 MPQ15:MPQ16 MFU15:MFU16 LVY15:LVY16 LMC15:LMC16 LCG15:LCG16 KSK15:KSK16 KIO15:KIO16 JYS15:JYS16 JOW15:JOW16 JFA15:JFA16 IVE15:IVE16 ILI15:ILI16 IBM15:IBM16 HRQ15:HRQ16 HHU15:HHU16 GXY15:GXY16 GOC15:GOC16 GEG15:GEG16 FUK15:FUK16 FKO15:FKO16 FAS15:FAS16 EQW15:EQW16 EHA15:EHA16 DXE15:DXE16 DNI15:DNI16 DDM15:DDM16 CTQ15:CTQ16 CJU15:CJU16 BZY15:BZY16 BQC15:BQC16 BGG15:BGG16 AWK15:AWK16 AMO15:AMO16 SW15:SW16 ACS15:ACS16 AWK30:AWK34 BGG30:BGG34 BQC30:BQC34 BZY30:BZY34 CJU30:CJU34 CTQ30:CTQ34 DDM30:DDM34 DNI30:DNI34 DXE30:DXE34 EHA30:EHA34 EQW30:EQW34 FAS30:FAS34 FKO30:FKO34 FUK30:FUK34 GEG30:GEG34 GOC30:GOC34 GXY30:GXY34 HHU30:HHU34 HRQ30:HRQ34 IBM30:IBM34 ILI30:ILI34 IVE30:IVE34 JFA30:JFA34 JOW30:JOW34 JYS30:JYS34 KIO30:KIO34 KSK30:KSK34 LCG30:LCG34 LMC30:LMC34 LVY30:LVY34 MFU30:MFU34 MPQ30:MPQ34 MZM30:MZM34 NJI30:NJI34 NTE30:NTE34 ODA30:ODA34 OMW30:OMW34 OWS30:OWS34 PGO30:PGO34 PQK30:PQK34 QAG30:QAG34 QKC30:QKC34 QTY30:QTY34 RDU30:RDU34 RNQ30:RNQ34 RXM30:RXM34 SHI30:SHI34 SRE30:SRE34 TBA30:TBA34 TKW30:TKW34 TUS30:TUS34 UEO30:UEO34 UOK30:UOK34 UYG30:UYG34 VIC30:VIC34 VRY30:VRY34 WBU30:WBU34 WLQ30:WLQ34 WVM30:WVM34 JA30:JA34 SW30:SW34 ACS30:ACS34 ACS8:ACS12 JA8:JA12 WVM8:WVM12 WLQ8:WLQ12 WBU8:WBU12 VRY8:VRY12 VIC8:VIC12 UYG8:UYG12 UOK8:UOK12 UEO8:UEO12 TUS8:TUS12 TKW8:TKW12 TBA8:TBA12 SRE8:SRE12 SHI8:SHI12 RXM8:RXM12 RNQ8:RNQ12 RDU8:RDU12 QTY8:QTY12 QKC8:QKC12 QAG8:QAG12 PQK8:PQK12 PGO8:PGO12 OWS8:OWS12 OMW8:OMW12 ODA8:ODA12 NTE8:NTE12 NJI8:NJI12 MZM8:MZM12 MPQ8:MPQ12 MFU8:MFU12 LVY8:LVY12 LMC8:LMC12 LCG8:LCG12 KSK8:KSK12 KIO8:KIO12 JYS8:JYS12 JOW8:JOW12 JFA8:JFA12 IVE8:IVE12 ILI8:ILI12 IBM8:IBM12 HRQ8:HRQ12 HHU8:HHU12 GXY8:GXY12 GOC8:GOC12 GEG8:GEG12 FUK8:FUK12 FKO8:FKO12 FAS8:FAS12 EQW8:EQW12 EHA8:EHA12 DXE8:DXE12 DNI8:DNI12 DDM8:DDM12 CTQ8:CTQ12 CJU8:CJU12 BZY8:BZY12 BQC8:BQC12 BGG8:BGG12 AWK8:AWK12 AMO8:AMO12 SW8:SW12 AMO37:AMO40" xr:uid="{D98160F8-39C6-46BB-A64A-D6581FD05D35}">
      <formula1>$W$3:$W$40</formula1>
    </dataValidation>
  </dataValidations>
  <pageMargins left="0.39370078740157483" right="0.19685039370078741" top="0.39370078740157483" bottom="0.39370078740157483" header="0.39370078740157483" footer="0.39370078740157483"/>
  <pageSetup paperSize="9" scale="92" fitToHeight="0" orientation="portrait" r:id="rId1"/>
  <headerFooter alignWithMargins="0"/>
  <legacyDrawing r:id="rId2"/>
  <extLst>
    <ext xmlns:x14="http://schemas.microsoft.com/office/spreadsheetml/2009/9/main" uri="{78C0D931-6437-407d-A8EE-F0AAD7539E65}">
      <x14:conditionalFormattings>
        <x14:conditionalFormatting xmlns:xm="http://schemas.microsoft.com/office/excel/2006/main">
          <x14:cfRule type="expression" priority="14" stopIfTrue="1" id="{FDB66239-A5F1-4FC7-A2DC-66514A0B9C63}">
            <xm:f>AND(AND(ISNUMBER($A6),$A6&gt;=1,$A6&lt;=DAY(EOMONTH(DATE(HOLIDAYS!$E$3,HOLIDAYS!$E$2,1),0))),WEEKDAY(DATE(HOLIDAYS!$E$3,HOLIDAYS!$E$2,$A6),2)&gt;5)</xm:f>
            <x14:dxf>
              <fill>
                <patternFill patternType="solid">
                  <fgColor indexed="64"/>
                  <bgColor rgb="FFFFF2CC"/>
                </patternFill>
              </fill>
            </x14:dxf>
          </x14:cfRule>
          <x14:cfRule type="expression" priority="15" stopIfTrue="1" id="{15202FB5-82E1-4515-968C-479F7EF8CD3C}">
            <xm:f>AND(AND(ISNUMBER($A6),$A6&gt;=1,$A6&lt;=DAY(EOMONTH(DATE(HOLIDAYS!$E$3,HOLIDAYS!$E$2,1),0))),COUNTIF(HOLIDAYS!$A$5:$A$199,DATE(HOLIDAYS!$E$3,HOLIDAYS!$E$2,$A6))&gt;0)</xm:f>
            <x14:dxf>
              <fill>
                <patternFill patternType="solid">
                  <fgColor indexed="64"/>
                  <bgColor rgb="FFC6EFCE"/>
                </patternFill>
              </fill>
            </x14:dxf>
          </x14:cfRule>
          <xm:sqref>A6:I6 A7:G37 H7:I38 N6:Q37</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89EF4-1767-4506-B84D-ED6320E44C80}">
  <sheetPr>
    <pageSetUpPr fitToPage="1"/>
  </sheetPr>
  <dimension ref="A1:AE34"/>
  <sheetViews>
    <sheetView view="pageBreakPreview" zoomScale="85" zoomScaleNormal="70" zoomScaleSheetLayoutView="85" workbookViewId="0">
      <selection activeCell="I20" sqref="I20:M20"/>
    </sheetView>
  </sheetViews>
  <sheetFormatPr defaultColWidth="8.6640625" defaultRowHeight="25.05" customHeight="1"/>
  <cols>
    <col min="1" max="1" width="7.6640625" style="15" customWidth="1"/>
    <col min="2" max="2" width="9.6640625" style="15" customWidth="1"/>
    <col min="3" max="3" width="3.77734375" style="15" customWidth="1"/>
    <col min="4" max="4" width="5.77734375" style="15" customWidth="1"/>
    <col min="5" max="5" width="5.21875" style="15" customWidth="1"/>
    <col min="6" max="6" width="3.21875" style="15" customWidth="1"/>
    <col min="7" max="7" width="3.77734375" style="15" customWidth="1"/>
    <col min="8" max="12" width="7.21875" style="15" customWidth="1"/>
    <col min="13" max="13" width="10.44140625" style="15" customWidth="1"/>
    <col min="14" max="15" width="5.21875" style="15" customWidth="1"/>
    <col min="16" max="16" width="9.77734375" style="15" customWidth="1"/>
    <col min="17" max="17" width="8.44140625" style="17" customWidth="1"/>
    <col min="18" max="20" width="7.6640625" style="15" customWidth="1"/>
    <col min="21" max="21" width="14.21875" style="21" bestFit="1" customWidth="1"/>
    <col min="22" max="22" width="30.77734375" style="15" customWidth="1"/>
    <col min="23" max="23" width="6.21875" style="21" customWidth="1"/>
    <col min="24" max="24" width="5" style="15" customWidth="1"/>
    <col min="25" max="25" width="23.33203125" style="15" bestFit="1" customWidth="1"/>
    <col min="26" max="26" width="7.33203125" style="15" bestFit="1" customWidth="1"/>
    <col min="27" max="27" width="8.109375" style="15" bestFit="1" customWidth="1"/>
    <col min="28" max="28" width="11" style="15" bestFit="1" customWidth="1"/>
    <col min="29" max="29" width="4" style="15" bestFit="1" customWidth="1"/>
    <col min="30" max="39" width="5" style="15" customWidth="1"/>
    <col min="40" max="40" width="0" style="15" hidden="1" customWidth="1"/>
    <col min="41" max="256" width="8.6640625" style="15"/>
    <col min="257" max="257" width="7.6640625" style="15" customWidth="1"/>
    <col min="258" max="258" width="9.6640625" style="15" customWidth="1"/>
    <col min="259" max="259" width="3.77734375" style="15" customWidth="1"/>
    <col min="260" max="260" width="5.77734375" style="15" customWidth="1"/>
    <col min="261" max="261" width="5.21875" style="15" customWidth="1"/>
    <col min="262" max="262" width="3.21875" style="15" customWidth="1"/>
    <col min="263" max="263" width="3.44140625" style="15" customWidth="1"/>
    <col min="264" max="268" width="7.21875" style="15" customWidth="1"/>
    <col min="269" max="269" width="23.21875" style="15" customWidth="1"/>
    <col min="270" max="271" width="5.21875" style="15" customWidth="1"/>
    <col min="272" max="272" width="9.77734375" style="15" customWidth="1"/>
    <col min="273" max="273" width="8.44140625" style="15" customWidth="1"/>
    <col min="274" max="276" width="7.6640625" style="15" customWidth="1"/>
    <col min="277" max="277" width="14.21875" style="15" bestFit="1" customWidth="1"/>
    <col min="278" max="278" width="30.77734375" style="15" customWidth="1"/>
    <col min="279" max="295" width="5" style="15" customWidth="1"/>
    <col min="296" max="296" width="0" style="15" hidden="1" customWidth="1"/>
    <col min="297" max="512" width="8.6640625" style="15"/>
    <col min="513" max="513" width="7.6640625" style="15" customWidth="1"/>
    <col min="514" max="514" width="9.6640625" style="15" customWidth="1"/>
    <col min="515" max="515" width="3.77734375" style="15" customWidth="1"/>
    <col min="516" max="516" width="5.77734375" style="15" customWidth="1"/>
    <col min="517" max="517" width="5.21875" style="15" customWidth="1"/>
    <col min="518" max="518" width="3.21875" style="15" customWidth="1"/>
    <col min="519" max="519" width="3.44140625" style="15" customWidth="1"/>
    <col min="520" max="524" width="7.21875" style="15" customWidth="1"/>
    <col min="525" max="525" width="23.21875" style="15" customWidth="1"/>
    <col min="526" max="527" width="5.21875" style="15" customWidth="1"/>
    <col min="528" max="528" width="9.77734375" style="15" customWidth="1"/>
    <col min="529" max="529" width="8.44140625" style="15" customWidth="1"/>
    <col min="530" max="532" width="7.6640625" style="15" customWidth="1"/>
    <col min="533" max="533" width="14.21875" style="15" bestFit="1" customWidth="1"/>
    <col min="534" max="534" width="30.77734375" style="15" customWidth="1"/>
    <col min="535" max="551" width="5" style="15" customWidth="1"/>
    <col min="552" max="552" width="0" style="15" hidden="1" customWidth="1"/>
    <col min="553" max="768" width="8.6640625" style="15"/>
    <col min="769" max="769" width="7.6640625" style="15" customWidth="1"/>
    <col min="770" max="770" width="9.6640625" style="15" customWidth="1"/>
    <col min="771" max="771" width="3.77734375" style="15" customWidth="1"/>
    <col min="772" max="772" width="5.77734375" style="15" customWidth="1"/>
    <col min="773" max="773" width="5.21875" style="15" customWidth="1"/>
    <col min="774" max="774" width="3.21875" style="15" customWidth="1"/>
    <col min="775" max="775" width="3.44140625" style="15" customWidth="1"/>
    <col min="776" max="780" width="7.21875" style="15" customWidth="1"/>
    <col min="781" max="781" width="23.21875" style="15" customWidth="1"/>
    <col min="782" max="783" width="5.21875" style="15" customWidth="1"/>
    <col min="784" max="784" width="9.77734375" style="15" customWidth="1"/>
    <col min="785" max="785" width="8.44140625" style="15" customWidth="1"/>
    <col min="786" max="788" width="7.6640625" style="15" customWidth="1"/>
    <col min="789" max="789" width="14.21875" style="15" bestFit="1" customWidth="1"/>
    <col min="790" max="790" width="30.77734375" style="15" customWidth="1"/>
    <col min="791" max="807" width="5" style="15" customWidth="1"/>
    <col min="808" max="808" width="0" style="15" hidden="1" customWidth="1"/>
    <col min="809" max="1024" width="8.6640625" style="15"/>
    <col min="1025" max="1025" width="7.6640625" style="15" customWidth="1"/>
    <col min="1026" max="1026" width="9.6640625" style="15" customWidth="1"/>
    <col min="1027" max="1027" width="3.77734375" style="15" customWidth="1"/>
    <col min="1028" max="1028" width="5.77734375" style="15" customWidth="1"/>
    <col min="1029" max="1029" width="5.21875" style="15" customWidth="1"/>
    <col min="1030" max="1030" width="3.21875" style="15" customWidth="1"/>
    <col min="1031" max="1031" width="3.44140625" style="15" customWidth="1"/>
    <col min="1032" max="1036" width="7.21875" style="15" customWidth="1"/>
    <col min="1037" max="1037" width="23.21875" style="15" customWidth="1"/>
    <col min="1038" max="1039" width="5.21875" style="15" customWidth="1"/>
    <col min="1040" max="1040" width="9.77734375" style="15" customWidth="1"/>
    <col min="1041" max="1041" width="8.44140625" style="15" customWidth="1"/>
    <col min="1042" max="1044" width="7.6640625" style="15" customWidth="1"/>
    <col min="1045" max="1045" width="14.21875" style="15" bestFit="1" customWidth="1"/>
    <col min="1046" max="1046" width="30.77734375" style="15" customWidth="1"/>
    <col min="1047" max="1063" width="5" style="15" customWidth="1"/>
    <col min="1064" max="1064" width="0" style="15" hidden="1" customWidth="1"/>
    <col min="1065" max="1280" width="8.6640625" style="15"/>
    <col min="1281" max="1281" width="7.6640625" style="15" customWidth="1"/>
    <col min="1282" max="1282" width="9.6640625" style="15" customWidth="1"/>
    <col min="1283" max="1283" width="3.77734375" style="15" customWidth="1"/>
    <col min="1284" max="1284" width="5.77734375" style="15" customWidth="1"/>
    <col min="1285" max="1285" width="5.21875" style="15" customWidth="1"/>
    <col min="1286" max="1286" width="3.21875" style="15" customWidth="1"/>
    <col min="1287" max="1287" width="3.44140625" style="15" customWidth="1"/>
    <col min="1288" max="1292" width="7.21875" style="15" customWidth="1"/>
    <col min="1293" max="1293" width="23.21875" style="15" customWidth="1"/>
    <col min="1294" max="1295" width="5.21875" style="15" customWidth="1"/>
    <col min="1296" max="1296" width="9.77734375" style="15" customWidth="1"/>
    <col min="1297" max="1297" width="8.44140625" style="15" customWidth="1"/>
    <col min="1298" max="1300" width="7.6640625" style="15" customWidth="1"/>
    <col min="1301" max="1301" width="14.21875" style="15" bestFit="1" customWidth="1"/>
    <col min="1302" max="1302" width="30.77734375" style="15" customWidth="1"/>
    <col min="1303" max="1319" width="5" style="15" customWidth="1"/>
    <col min="1320" max="1320" width="0" style="15" hidden="1" customWidth="1"/>
    <col min="1321" max="1536" width="8.6640625" style="15"/>
    <col min="1537" max="1537" width="7.6640625" style="15" customWidth="1"/>
    <col min="1538" max="1538" width="9.6640625" style="15" customWidth="1"/>
    <col min="1539" max="1539" width="3.77734375" style="15" customWidth="1"/>
    <col min="1540" max="1540" width="5.77734375" style="15" customWidth="1"/>
    <col min="1541" max="1541" width="5.21875" style="15" customWidth="1"/>
    <col min="1542" max="1542" width="3.21875" style="15" customWidth="1"/>
    <col min="1543" max="1543" width="3.44140625" style="15" customWidth="1"/>
    <col min="1544" max="1548" width="7.21875" style="15" customWidth="1"/>
    <col min="1549" max="1549" width="23.21875" style="15" customWidth="1"/>
    <col min="1550" max="1551" width="5.21875" style="15" customWidth="1"/>
    <col min="1552" max="1552" width="9.77734375" style="15" customWidth="1"/>
    <col min="1553" max="1553" width="8.44140625" style="15" customWidth="1"/>
    <col min="1554" max="1556" width="7.6640625" style="15" customWidth="1"/>
    <col min="1557" max="1557" width="14.21875" style="15" bestFit="1" customWidth="1"/>
    <col min="1558" max="1558" width="30.77734375" style="15" customWidth="1"/>
    <col min="1559" max="1575" width="5" style="15" customWidth="1"/>
    <col min="1576" max="1576" width="0" style="15" hidden="1" customWidth="1"/>
    <col min="1577" max="1792" width="8.6640625" style="15"/>
    <col min="1793" max="1793" width="7.6640625" style="15" customWidth="1"/>
    <col min="1794" max="1794" width="9.6640625" style="15" customWidth="1"/>
    <col min="1795" max="1795" width="3.77734375" style="15" customWidth="1"/>
    <col min="1796" max="1796" width="5.77734375" style="15" customWidth="1"/>
    <col min="1797" max="1797" width="5.21875" style="15" customWidth="1"/>
    <col min="1798" max="1798" width="3.21875" style="15" customWidth="1"/>
    <col min="1799" max="1799" width="3.44140625" style="15" customWidth="1"/>
    <col min="1800" max="1804" width="7.21875" style="15" customWidth="1"/>
    <col min="1805" max="1805" width="23.21875" style="15" customWidth="1"/>
    <col min="1806" max="1807" width="5.21875" style="15" customWidth="1"/>
    <col min="1808" max="1808" width="9.77734375" style="15" customWidth="1"/>
    <col min="1809" max="1809" width="8.44140625" style="15" customWidth="1"/>
    <col min="1810" max="1812" width="7.6640625" style="15" customWidth="1"/>
    <col min="1813" max="1813" width="14.21875" style="15" bestFit="1" customWidth="1"/>
    <col min="1814" max="1814" width="30.77734375" style="15" customWidth="1"/>
    <col min="1815" max="1831" width="5" style="15" customWidth="1"/>
    <col min="1832" max="1832" width="0" style="15" hidden="1" customWidth="1"/>
    <col min="1833" max="2048" width="8.6640625" style="15"/>
    <col min="2049" max="2049" width="7.6640625" style="15" customWidth="1"/>
    <col min="2050" max="2050" width="9.6640625" style="15" customWidth="1"/>
    <col min="2051" max="2051" width="3.77734375" style="15" customWidth="1"/>
    <col min="2052" max="2052" width="5.77734375" style="15" customWidth="1"/>
    <col min="2053" max="2053" width="5.21875" style="15" customWidth="1"/>
    <col min="2054" max="2054" width="3.21875" style="15" customWidth="1"/>
    <col min="2055" max="2055" width="3.44140625" style="15" customWidth="1"/>
    <col min="2056" max="2060" width="7.21875" style="15" customWidth="1"/>
    <col min="2061" max="2061" width="23.21875" style="15" customWidth="1"/>
    <col min="2062" max="2063" width="5.21875" style="15" customWidth="1"/>
    <col min="2064" max="2064" width="9.77734375" style="15" customWidth="1"/>
    <col min="2065" max="2065" width="8.44140625" style="15" customWidth="1"/>
    <col min="2066" max="2068" width="7.6640625" style="15" customWidth="1"/>
    <col min="2069" max="2069" width="14.21875" style="15" bestFit="1" customWidth="1"/>
    <col min="2070" max="2070" width="30.77734375" style="15" customWidth="1"/>
    <col min="2071" max="2087" width="5" style="15" customWidth="1"/>
    <col min="2088" max="2088" width="0" style="15" hidden="1" customWidth="1"/>
    <col min="2089" max="2304" width="8.6640625" style="15"/>
    <col min="2305" max="2305" width="7.6640625" style="15" customWidth="1"/>
    <col min="2306" max="2306" width="9.6640625" style="15" customWidth="1"/>
    <col min="2307" max="2307" width="3.77734375" style="15" customWidth="1"/>
    <col min="2308" max="2308" width="5.77734375" style="15" customWidth="1"/>
    <col min="2309" max="2309" width="5.21875" style="15" customWidth="1"/>
    <col min="2310" max="2310" width="3.21875" style="15" customWidth="1"/>
    <col min="2311" max="2311" width="3.44140625" style="15" customWidth="1"/>
    <col min="2312" max="2316" width="7.21875" style="15" customWidth="1"/>
    <col min="2317" max="2317" width="23.21875" style="15" customWidth="1"/>
    <col min="2318" max="2319" width="5.21875" style="15" customWidth="1"/>
    <col min="2320" max="2320" width="9.77734375" style="15" customWidth="1"/>
    <col min="2321" max="2321" width="8.44140625" style="15" customWidth="1"/>
    <col min="2322" max="2324" width="7.6640625" style="15" customWidth="1"/>
    <col min="2325" max="2325" width="14.21875" style="15" bestFit="1" customWidth="1"/>
    <col min="2326" max="2326" width="30.77734375" style="15" customWidth="1"/>
    <col min="2327" max="2343" width="5" style="15" customWidth="1"/>
    <col min="2344" max="2344" width="0" style="15" hidden="1" customWidth="1"/>
    <col min="2345" max="2560" width="8.6640625" style="15"/>
    <col min="2561" max="2561" width="7.6640625" style="15" customWidth="1"/>
    <col min="2562" max="2562" width="9.6640625" style="15" customWidth="1"/>
    <col min="2563" max="2563" width="3.77734375" style="15" customWidth="1"/>
    <col min="2564" max="2564" width="5.77734375" style="15" customWidth="1"/>
    <col min="2565" max="2565" width="5.21875" style="15" customWidth="1"/>
    <col min="2566" max="2566" width="3.21875" style="15" customWidth="1"/>
    <col min="2567" max="2567" width="3.44140625" style="15" customWidth="1"/>
    <col min="2568" max="2572" width="7.21875" style="15" customWidth="1"/>
    <col min="2573" max="2573" width="23.21875" style="15" customWidth="1"/>
    <col min="2574" max="2575" width="5.21875" style="15" customWidth="1"/>
    <col min="2576" max="2576" width="9.77734375" style="15" customWidth="1"/>
    <col min="2577" max="2577" width="8.44140625" style="15" customWidth="1"/>
    <col min="2578" max="2580" width="7.6640625" style="15" customWidth="1"/>
    <col min="2581" max="2581" width="14.21875" style="15" bestFit="1" customWidth="1"/>
    <col min="2582" max="2582" width="30.77734375" style="15" customWidth="1"/>
    <col min="2583" max="2599" width="5" style="15" customWidth="1"/>
    <col min="2600" max="2600" width="0" style="15" hidden="1" customWidth="1"/>
    <col min="2601" max="2816" width="8.6640625" style="15"/>
    <col min="2817" max="2817" width="7.6640625" style="15" customWidth="1"/>
    <col min="2818" max="2818" width="9.6640625" style="15" customWidth="1"/>
    <col min="2819" max="2819" width="3.77734375" style="15" customWidth="1"/>
    <col min="2820" max="2820" width="5.77734375" style="15" customWidth="1"/>
    <col min="2821" max="2821" width="5.21875" style="15" customWidth="1"/>
    <col min="2822" max="2822" width="3.21875" style="15" customWidth="1"/>
    <col min="2823" max="2823" width="3.44140625" style="15" customWidth="1"/>
    <col min="2824" max="2828" width="7.21875" style="15" customWidth="1"/>
    <col min="2829" max="2829" width="23.21875" style="15" customWidth="1"/>
    <col min="2830" max="2831" width="5.21875" style="15" customWidth="1"/>
    <col min="2832" max="2832" width="9.77734375" style="15" customWidth="1"/>
    <col min="2833" max="2833" width="8.44140625" style="15" customWidth="1"/>
    <col min="2834" max="2836" width="7.6640625" style="15" customWidth="1"/>
    <col min="2837" max="2837" width="14.21875" style="15" bestFit="1" customWidth="1"/>
    <col min="2838" max="2838" width="30.77734375" style="15" customWidth="1"/>
    <col min="2839" max="2855" width="5" style="15" customWidth="1"/>
    <col min="2856" max="2856" width="0" style="15" hidden="1" customWidth="1"/>
    <col min="2857" max="3072" width="8.6640625" style="15"/>
    <col min="3073" max="3073" width="7.6640625" style="15" customWidth="1"/>
    <col min="3074" max="3074" width="9.6640625" style="15" customWidth="1"/>
    <col min="3075" max="3075" width="3.77734375" style="15" customWidth="1"/>
    <col min="3076" max="3076" width="5.77734375" style="15" customWidth="1"/>
    <col min="3077" max="3077" width="5.21875" style="15" customWidth="1"/>
    <col min="3078" max="3078" width="3.21875" style="15" customWidth="1"/>
    <col min="3079" max="3079" width="3.44140625" style="15" customWidth="1"/>
    <col min="3080" max="3084" width="7.21875" style="15" customWidth="1"/>
    <col min="3085" max="3085" width="23.21875" style="15" customWidth="1"/>
    <col min="3086" max="3087" width="5.21875" style="15" customWidth="1"/>
    <col min="3088" max="3088" width="9.77734375" style="15" customWidth="1"/>
    <col min="3089" max="3089" width="8.44140625" style="15" customWidth="1"/>
    <col min="3090" max="3092" width="7.6640625" style="15" customWidth="1"/>
    <col min="3093" max="3093" width="14.21875" style="15" bestFit="1" customWidth="1"/>
    <col min="3094" max="3094" width="30.77734375" style="15" customWidth="1"/>
    <col min="3095" max="3111" width="5" style="15" customWidth="1"/>
    <col min="3112" max="3112" width="0" style="15" hidden="1" customWidth="1"/>
    <col min="3113" max="3328" width="8.6640625" style="15"/>
    <col min="3329" max="3329" width="7.6640625" style="15" customWidth="1"/>
    <col min="3330" max="3330" width="9.6640625" style="15" customWidth="1"/>
    <col min="3331" max="3331" width="3.77734375" style="15" customWidth="1"/>
    <col min="3332" max="3332" width="5.77734375" style="15" customWidth="1"/>
    <col min="3333" max="3333" width="5.21875" style="15" customWidth="1"/>
    <col min="3334" max="3334" width="3.21875" style="15" customWidth="1"/>
    <col min="3335" max="3335" width="3.44140625" style="15" customWidth="1"/>
    <col min="3336" max="3340" width="7.21875" style="15" customWidth="1"/>
    <col min="3341" max="3341" width="23.21875" style="15" customWidth="1"/>
    <col min="3342" max="3343" width="5.21875" style="15" customWidth="1"/>
    <col min="3344" max="3344" width="9.77734375" style="15" customWidth="1"/>
    <col min="3345" max="3345" width="8.44140625" style="15" customWidth="1"/>
    <col min="3346" max="3348" width="7.6640625" style="15" customWidth="1"/>
    <col min="3349" max="3349" width="14.21875" style="15" bestFit="1" customWidth="1"/>
    <col min="3350" max="3350" width="30.77734375" style="15" customWidth="1"/>
    <col min="3351" max="3367" width="5" style="15" customWidth="1"/>
    <col min="3368" max="3368" width="0" style="15" hidden="1" customWidth="1"/>
    <col min="3369" max="3584" width="8.6640625" style="15"/>
    <col min="3585" max="3585" width="7.6640625" style="15" customWidth="1"/>
    <col min="3586" max="3586" width="9.6640625" style="15" customWidth="1"/>
    <col min="3587" max="3587" width="3.77734375" style="15" customWidth="1"/>
    <col min="3588" max="3588" width="5.77734375" style="15" customWidth="1"/>
    <col min="3589" max="3589" width="5.21875" style="15" customWidth="1"/>
    <col min="3590" max="3590" width="3.21875" style="15" customWidth="1"/>
    <col min="3591" max="3591" width="3.44140625" style="15" customWidth="1"/>
    <col min="3592" max="3596" width="7.21875" style="15" customWidth="1"/>
    <col min="3597" max="3597" width="23.21875" style="15" customWidth="1"/>
    <col min="3598" max="3599" width="5.21875" style="15" customWidth="1"/>
    <col min="3600" max="3600" width="9.77734375" style="15" customWidth="1"/>
    <col min="3601" max="3601" width="8.44140625" style="15" customWidth="1"/>
    <col min="3602" max="3604" width="7.6640625" style="15" customWidth="1"/>
    <col min="3605" max="3605" width="14.21875" style="15" bestFit="1" customWidth="1"/>
    <col min="3606" max="3606" width="30.77734375" style="15" customWidth="1"/>
    <col min="3607" max="3623" width="5" style="15" customWidth="1"/>
    <col min="3624" max="3624" width="0" style="15" hidden="1" customWidth="1"/>
    <col min="3625" max="3840" width="8.6640625" style="15"/>
    <col min="3841" max="3841" width="7.6640625" style="15" customWidth="1"/>
    <col min="3842" max="3842" width="9.6640625" style="15" customWidth="1"/>
    <col min="3843" max="3843" width="3.77734375" style="15" customWidth="1"/>
    <col min="3844" max="3844" width="5.77734375" style="15" customWidth="1"/>
    <col min="3845" max="3845" width="5.21875" style="15" customWidth="1"/>
    <col min="3846" max="3846" width="3.21875" style="15" customWidth="1"/>
    <col min="3847" max="3847" width="3.44140625" style="15" customWidth="1"/>
    <col min="3848" max="3852" width="7.21875" style="15" customWidth="1"/>
    <col min="3853" max="3853" width="23.21875" style="15" customWidth="1"/>
    <col min="3854" max="3855" width="5.21875" style="15" customWidth="1"/>
    <col min="3856" max="3856" width="9.77734375" style="15" customWidth="1"/>
    <col min="3857" max="3857" width="8.44140625" style="15" customWidth="1"/>
    <col min="3858" max="3860" width="7.6640625" style="15" customWidth="1"/>
    <col min="3861" max="3861" width="14.21875" style="15" bestFit="1" customWidth="1"/>
    <col min="3862" max="3862" width="30.77734375" style="15" customWidth="1"/>
    <col min="3863" max="3879" width="5" style="15" customWidth="1"/>
    <col min="3880" max="3880" width="0" style="15" hidden="1" customWidth="1"/>
    <col min="3881" max="4096" width="8.6640625" style="15"/>
    <col min="4097" max="4097" width="7.6640625" style="15" customWidth="1"/>
    <col min="4098" max="4098" width="9.6640625" style="15" customWidth="1"/>
    <col min="4099" max="4099" width="3.77734375" style="15" customWidth="1"/>
    <col min="4100" max="4100" width="5.77734375" style="15" customWidth="1"/>
    <col min="4101" max="4101" width="5.21875" style="15" customWidth="1"/>
    <col min="4102" max="4102" width="3.21875" style="15" customWidth="1"/>
    <col min="4103" max="4103" width="3.44140625" style="15" customWidth="1"/>
    <col min="4104" max="4108" width="7.21875" style="15" customWidth="1"/>
    <col min="4109" max="4109" width="23.21875" style="15" customWidth="1"/>
    <col min="4110" max="4111" width="5.21875" style="15" customWidth="1"/>
    <col min="4112" max="4112" width="9.77734375" style="15" customWidth="1"/>
    <col min="4113" max="4113" width="8.44140625" style="15" customWidth="1"/>
    <col min="4114" max="4116" width="7.6640625" style="15" customWidth="1"/>
    <col min="4117" max="4117" width="14.21875" style="15" bestFit="1" customWidth="1"/>
    <col min="4118" max="4118" width="30.77734375" style="15" customWidth="1"/>
    <col min="4119" max="4135" width="5" style="15" customWidth="1"/>
    <col min="4136" max="4136" width="0" style="15" hidden="1" customWidth="1"/>
    <col min="4137" max="4352" width="8.6640625" style="15"/>
    <col min="4353" max="4353" width="7.6640625" style="15" customWidth="1"/>
    <col min="4354" max="4354" width="9.6640625" style="15" customWidth="1"/>
    <col min="4355" max="4355" width="3.77734375" style="15" customWidth="1"/>
    <col min="4356" max="4356" width="5.77734375" style="15" customWidth="1"/>
    <col min="4357" max="4357" width="5.21875" style="15" customWidth="1"/>
    <col min="4358" max="4358" width="3.21875" style="15" customWidth="1"/>
    <col min="4359" max="4359" width="3.44140625" style="15" customWidth="1"/>
    <col min="4360" max="4364" width="7.21875" style="15" customWidth="1"/>
    <col min="4365" max="4365" width="23.21875" style="15" customWidth="1"/>
    <col min="4366" max="4367" width="5.21875" style="15" customWidth="1"/>
    <col min="4368" max="4368" width="9.77734375" style="15" customWidth="1"/>
    <col min="4369" max="4369" width="8.44140625" style="15" customWidth="1"/>
    <col min="4370" max="4372" width="7.6640625" style="15" customWidth="1"/>
    <col min="4373" max="4373" width="14.21875" style="15" bestFit="1" customWidth="1"/>
    <col min="4374" max="4374" width="30.77734375" style="15" customWidth="1"/>
    <col min="4375" max="4391" width="5" style="15" customWidth="1"/>
    <col min="4392" max="4392" width="0" style="15" hidden="1" customWidth="1"/>
    <col min="4393" max="4608" width="8.6640625" style="15"/>
    <col min="4609" max="4609" width="7.6640625" style="15" customWidth="1"/>
    <col min="4610" max="4610" width="9.6640625" style="15" customWidth="1"/>
    <col min="4611" max="4611" width="3.77734375" style="15" customWidth="1"/>
    <col min="4612" max="4612" width="5.77734375" style="15" customWidth="1"/>
    <col min="4613" max="4613" width="5.21875" style="15" customWidth="1"/>
    <col min="4614" max="4614" width="3.21875" style="15" customWidth="1"/>
    <col min="4615" max="4615" width="3.44140625" style="15" customWidth="1"/>
    <col min="4616" max="4620" width="7.21875" style="15" customWidth="1"/>
    <col min="4621" max="4621" width="23.21875" style="15" customWidth="1"/>
    <col min="4622" max="4623" width="5.21875" style="15" customWidth="1"/>
    <col min="4624" max="4624" width="9.77734375" style="15" customWidth="1"/>
    <col min="4625" max="4625" width="8.44140625" style="15" customWidth="1"/>
    <col min="4626" max="4628" width="7.6640625" style="15" customWidth="1"/>
    <col min="4629" max="4629" width="14.21875" style="15" bestFit="1" customWidth="1"/>
    <col min="4630" max="4630" width="30.77734375" style="15" customWidth="1"/>
    <col min="4631" max="4647" width="5" style="15" customWidth="1"/>
    <col min="4648" max="4648" width="0" style="15" hidden="1" customWidth="1"/>
    <col min="4649" max="4864" width="8.6640625" style="15"/>
    <col min="4865" max="4865" width="7.6640625" style="15" customWidth="1"/>
    <col min="4866" max="4866" width="9.6640625" style="15" customWidth="1"/>
    <col min="4867" max="4867" width="3.77734375" style="15" customWidth="1"/>
    <col min="4868" max="4868" width="5.77734375" style="15" customWidth="1"/>
    <col min="4869" max="4869" width="5.21875" style="15" customWidth="1"/>
    <col min="4870" max="4870" width="3.21875" style="15" customWidth="1"/>
    <col min="4871" max="4871" width="3.44140625" style="15" customWidth="1"/>
    <col min="4872" max="4876" width="7.21875" style="15" customWidth="1"/>
    <col min="4877" max="4877" width="23.21875" style="15" customWidth="1"/>
    <col min="4878" max="4879" width="5.21875" style="15" customWidth="1"/>
    <col min="4880" max="4880" width="9.77734375" style="15" customWidth="1"/>
    <col min="4881" max="4881" width="8.44140625" style="15" customWidth="1"/>
    <col min="4882" max="4884" width="7.6640625" style="15" customWidth="1"/>
    <col min="4885" max="4885" width="14.21875" style="15" bestFit="1" customWidth="1"/>
    <col min="4886" max="4886" width="30.77734375" style="15" customWidth="1"/>
    <col min="4887" max="4903" width="5" style="15" customWidth="1"/>
    <col min="4904" max="4904" width="0" style="15" hidden="1" customWidth="1"/>
    <col min="4905" max="5120" width="8.6640625" style="15"/>
    <col min="5121" max="5121" width="7.6640625" style="15" customWidth="1"/>
    <col min="5122" max="5122" width="9.6640625" style="15" customWidth="1"/>
    <col min="5123" max="5123" width="3.77734375" style="15" customWidth="1"/>
    <col min="5124" max="5124" width="5.77734375" style="15" customWidth="1"/>
    <col min="5125" max="5125" width="5.21875" style="15" customWidth="1"/>
    <col min="5126" max="5126" width="3.21875" style="15" customWidth="1"/>
    <col min="5127" max="5127" width="3.44140625" style="15" customWidth="1"/>
    <col min="5128" max="5132" width="7.21875" style="15" customWidth="1"/>
    <col min="5133" max="5133" width="23.21875" style="15" customWidth="1"/>
    <col min="5134" max="5135" width="5.21875" style="15" customWidth="1"/>
    <col min="5136" max="5136" width="9.77734375" style="15" customWidth="1"/>
    <col min="5137" max="5137" width="8.44140625" style="15" customWidth="1"/>
    <col min="5138" max="5140" width="7.6640625" style="15" customWidth="1"/>
    <col min="5141" max="5141" width="14.21875" style="15" bestFit="1" customWidth="1"/>
    <col min="5142" max="5142" width="30.77734375" style="15" customWidth="1"/>
    <col min="5143" max="5159" width="5" style="15" customWidth="1"/>
    <col min="5160" max="5160" width="0" style="15" hidden="1" customWidth="1"/>
    <col min="5161" max="5376" width="8.6640625" style="15"/>
    <col min="5377" max="5377" width="7.6640625" style="15" customWidth="1"/>
    <col min="5378" max="5378" width="9.6640625" style="15" customWidth="1"/>
    <col min="5379" max="5379" width="3.77734375" style="15" customWidth="1"/>
    <col min="5380" max="5380" width="5.77734375" style="15" customWidth="1"/>
    <col min="5381" max="5381" width="5.21875" style="15" customWidth="1"/>
    <col min="5382" max="5382" width="3.21875" style="15" customWidth="1"/>
    <col min="5383" max="5383" width="3.44140625" style="15" customWidth="1"/>
    <col min="5384" max="5388" width="7.21875" style="15" customWidth="1"/>
    <col min="5389" max="5389" width="23.21875" style="15" customWidth="1"/>
    <col min="5390" max="5391" width="5.21875" style="15" customWidth="1"/>
    <col min="5392" max="5392" width="9.77734375" style="15" customWidth="1"/>
    <col min="5393" max="5393" width="8.44140625" style="15" customWidth="1"/>
    <col min="5394" max="5396" width="7.6640625" style="15" customWidth="1"/>
    <col min="5397" max="5397" width="14.21875" style="15" bestFit="1" customWidth="1"/>
    <col min="5398" max="5398" width="30.77734375" style="15" customWidth="1"/>
    <col min="5399" max="5415" width="5" style="15" customWidth="1"/>
    <col min="5416" max="5416" width="0" style="15" hidden="1" customWidth="1"/>
    <col min="5417" max="5632" width="8.6640625" style="15"/>
    <col min="5633" max="5633" width="7.6640625" style="15" customWidth="1"/>
    <col min="5634" max="5634" width="9.6640625" style="15" customWidth="1"/>
    <col min="5635" max="5635" width="3.77734375" style="15" customWidth="1"/>
    <col min="5636" max="5636" width="5.77734375" style="15" customWidth="1"/>
    <col min="5637" max="5637" width="5.21875" style="15" customWidth="1"/>
    <col min="5638" max="5638" width="3.21875" style="15" customWidth="1"/>
    <col min="5639" max="5639" width="3.44140625" style="15" customWidth="1"/>
    <col min="5640" max="5644" width="7.21875" style="15" customWidth="1"/>
    <col min="5645" max="5645" width="23.21875" style="15" customWidth="1"/>
    <col min="5646" max="5647" width="5.21875" style="15" customWidth="1"/>
    <col min="5648" max="5648" width="9.77734375" style="15" customWidth="1"/>
    <col min="5649" max="5649" width="8.44140625" style="15" customWidth="1"/>
    <col min="5650" max="5652" width="7.6640625" style="15" customWidth="1"/>
    <col min="5653" max="5653" width="14.21875" style="15" bestFit="1" customWidth="1"/>
    <col min="5654" max="5654" width="30.77734375" style="15" customWidth="1"/>
    <col min="5655" max="5671" width="5" style="15" customWidth="1"/>
    <col min="5672" max="5672" width="0" style="15" hidden="1" customWidth="1"/>
    <col min="5673" max="5888" width="8.6640625" style="15"/>
    <col min="5889" max="5889" width="7.6640625" style="15" customWidth="1"/>
    <col min="5890" max="5890" width="9.6640625" style="15" customWidth="1"/>
    <col min="5891" max="5891" width="3.77734375" style="15" customWidth="1"/>
    <col min="5892" max="5892" width="5.77734375" style="15" customWidth="1"/>
    <col min="5893" max="5893" width="5.21875" style="15" customWidth="1"/>
    <col min="5894" max="5894" width="3.21875" style="15" customWidth="1"/>
    <col min="5895" max="5895" width="3.44140625" style="15" customWidth="1"/>
    <col min="5896" max="5900" width="7.21875" style="15" customWidth="1"/>
    <col min="5901" max="5901" width="23.21875" style="15" customWidth="1"/>
    <col min="5902" max="5903" width="5.21875" style="15" customWidth="1"/>
    <col min="5904" max="5904" width="9.77734375" style="15" customWidth="1"/>
    <col min="5905" max="5905" width="8.44140625" style="15" customWidth="1"/>
    <col min="5906" max="5908" width="7.6640625" style="15" customWidth="1"/>
    <col min="5909" max="5909" width="14.21875" style="15" bestFit="1" customWidth="1"/>
    <col min="5910" max="5910" width="30.77734375" style="15" customWidth="1"/>
    <col min="5911" max="5927" width="5" style="15" customWidth="1"/>
    <col min="5928" max="5928" width="0" style="15" hidden="1" customWidth="1"/>
    <col min="5929" max="6144" width="8.6640625" style="15"/>
    <col min="6145" max="6145" width="7.6640625" style="15" customWidth="1"/>
    <col min="6146" max="6146" width="9.6640625" style="15" customWidth="1"/>
    <col min="6147" max="6147" width="3.77734375" style="15" customWidth="1"/>
    <col min="6148" max="6148" width="5.77734375" style="15" customWidth="1"/>
    <col min="6149" max="6149" width="5.21875" style="15" customWidth="1"/>
    <col min="6150" max="6150" width="3.21875" style="15" customWidth="1"/>
    <col min="6151" max="6151" width="3.44140625" style="15" customWidth="1"/>
    <col min="6152" max="6156" width="7.21875" style="15" customWidth="1"/>
    <col min="6157" max="6157" width="23.21875" style="15" customWidth="1"/>
    <col min="6158" max="6159" width="5.21875" style="15" customWidth="1"/>
    <col min="6160" max="6160" width="9.77734375" style="15" customWidth="1"/>
    <col min="6161" max="6161" width="8.44140625" style="15" customWidth="1"/>
    <col min="6162" max="6164" width="7.6640625" style="15" customWidth="1"/>
    <col min="6165" max="6165" width="14.21875" style="15" bestFit="1" customWidth="1"/>
    <col min="6166" max="6166" width="30.77734375" style="15" customWidth="1"/>
    <col min="6167" max="6183" width="5" style="15" customWidth="1"/>
    <col min="6184" max="6184" width="0" style="15" hidden="1" customWidth="1"/>
    <col min="6185" max="6400" width="8.6640625" style="15"/>
    <col min="6401" max="6401" width="7.6640625" style="15" customWidth="1"/>
    <col min="6402" max="6402" width="9.6640625" style="15" customWidth="1"/>
    <col min="6403" max="6403" width="3.77734375" style="15" customWidth="1"/>
    <col min="6404" max="6404" width="5.77734375" style="15" customWidth="1"/>
    <col min="6405" max="6405" width="5.21875" style="15" customWidth="1"/>
    <col min="6406" max="6406" width="3.21875" style="15" customWidth="1"/>
    <col min="6407" max="6407" width="3.44140625" style="15" customWidth="1"/>
    <col min="6408" max="6412" width="7.21875" style="15" customWidth="1"/>
    <col min="6413" max="6413" width="23.21875" style="15" customWidth="1"/>
    <col min="6414" max="6415" width="5.21875" style="15" customWidth="1"/>
    <col min="6416" max="6416" width="9.77734375" style="15" customWidth="1"/>
    <col min="6417" max="6417" width="8.44140625" style="15" customWidth="1"/>
    <col min="6418" max="6420" width="7.6640625" style="15" customWidth="1"/>
    <col min="6421" max="6421" width="14.21875" style="15" bestFit="1" customWidth="1"/>
    <col min="6422" max="6422" width="30.77734375" style="15" customWidth="1"/>
    <col min="6423" max="6439" width="5" style="15" customWidth="1"/>
    <col min="6440" max="6440" width="0" style="15" hidden="1" customWidth="1"/>
    <col min="6441" max="6656" width="8.6640625" style="15"/>
    <col min="6657" max="6657" width="7.6640625" style="15" customWidth="1"/>
    <col min="6658" max="6658" width="9.6640625" style="15" customWidth="1"/>
    <col min="6659" max="6659" width="3.77734375" style="15" customWidth="1"/>
    <col min="6660" max="6660" width="5.77734375" style="15" customWidth="1"/>
    <col min="6661" max="6661" width="5.21875" style="15" customWidth="1"/>
    <col min="6662" max="6662" width="3.21875" style="15" customWidth="1"/>
    <col min="6663" max="6663" width="3.44140625" style="15" customWidth="1"/>
    <col min="6664" max="6668" width="7.21875" style="15" customWidth="1"/>
    <col min="6669" max="6669" width="23.21875" style="15" customWidth="1"/>
    <col min="6670" max="6671" width="5.21875" style="15" customWidth="1"/>
    <col min="6672" max="6672" width="9.77734375" style="15" customWidth="1"/>
    <col min="6673" max="6673" width="8.44140625" style="15" customWidth="1"/>
    <col min="6674" max="6676" width="7.6640625" style="15" customWidth="1"/>
    <col min="6677" max="6677" width="14.21875" style="15" bestFit="1" customWidth="1"/>
    <col min="6678" max="6678" width="30.77734375" style="15" customWidth="1"/>
    <col min="6679" max="6695" width="5" style="15" customWidth="1"/>
    <col min="6696" max="6696" width="0" style="15" hidden="1" customWidth="1"/>
    <col min="6697" max="6912" width="8.6640625" style="15"/>
    <col min="6913" max="6913" width="7.6640625" style="15" customWidth="1"/>
    <col min="6914" max="6914" width="9.6640625" style="15" customWidth="1"/>
    <col min="6915" max="6915" width="3.77734375" style="15" customWidth="1"/>
    <col min="6916" max="6916" width="5.77734375" style="15" customWidth="1"/>
    <col min="6917" max="6917" width="5.21875" style="15" customWidth="1"/>
    <col min="6918" max="6918" width="3.21875" style="15" customWidth="1"/>
    <col min="6919" max="6919" width="3.44140625" style="15" customWidth="1"/>
    <col min="6920" max="6924" width="7.21875" style="15" customWidth="1"/>
    <col min="6925" max="6925" width="23.21875" style="15" customWidth="1"/>
    <col min="6926" max="6927" width="5.21875" style="15" customWidth="1"/>
    <col min="6928" max="6928" width="9.77734375" style="15" customWidth="1"/>
    <col min="6929" max="6929" width="8.44140625" style="15" customWidth="1"/>
    <col min="6930" max="6932" width="7.6640625" style="15" customWidth="1"/>
    <col min="6933" max="6933" width="14.21875" style="15" bestFit="1" customWidth="1"/>
    <col min="6934" max="6934" width="30.77734375" style="15" customWidth="1"/>
    <col min="6935" max="6951" width="5" style="15" customWidth="1"/>
    <col min="6952" max="6952" width="0" style="15" hidden="1" customWidth="1"/>
    <col min="6953" max="7168" width="8.6640625" style="15"/>
    <col min="7169" max="7169" width="7.6640625" style="15" customWidth="1"/>
    <col min="7170" max="7170" width="9.6640625" style="15" customWidth="1"/>
    <col min="7171" max="7171" width="3.77734375" style="15" customWidth="1"/>
    <col min="7172" max="7172" width="5.77734375" style="15" customWidth="1"/>
    <col min="7173" max="7173" width="5.21875" style="15" customWidth="1"/>
    <col min="7174" max="7174" width="3.21875" style="15" customWidth="1"/>
    <col min="7175" max="7175" width="3.44140625" style="15" customWidth="1"/>
    <col min="7176" max="7180" width="7.21875" style="15" customWidth="1"/>
    <col min="7181" max="7181" width="23.21875" style="15" customWidth="1"/>
    <col min="7182" max="7183" width="5.21875" style="15" customWidth="1"/>
    <col min="7184" max="7184" width="9.77734375" style="15" customWidth="1"/>
    <col min="7185" max="7185" width="8.44140625" style="15" customWidth="1"/>
    <col min="7186" max="7188" width="7.6640625" style="15" customWidth="1"/>
    <col min="7189" max="7189" width="14.21875" style="15" bestFit="1" customWidth="1"/>
    <col min="7190" max="7190" width="30.77734375" style="15" customWidth="1"/>
    <col min="7191" max="7207" width="5" style="15" customWidth="1"/>
    <col min="7208" max="7208" width="0" style="15" hidden="1" customWidth="1"/>
    <col min="7209" max="7424" width="8.6640625" style="15"/>
    <col min="7425" max="7425" width="7.6640625" style="15" customWidth="1"/>
    <col min="7426" max="7426" width="9.6640625" style="15" customWidth="1"/>
    <col min="7427" max="7427" width="3.77734375" style="15" customWidth="1"/>
    <col min="7428" max="7428" width="5.77734375" style="15" customWidth="1"/>
    <col min="7429" max="7429" width="5.21875" style="15" customWidth="1"/>
    <col min="7430" max="7430" width="3.21875" style="15" customWidth="1"/>
    <col min="7431" max="7431" width="3.44140625" style="15" customWidth="1"/>
    <col min="7432" max="7436" width="7.21875" style="15" customWidth="1"/>
    <col min="7437" max="7437" width="23.21875" style="15" customWidth="1"/>
    <col min="7438" max="7439" width="5.21875" style="15" customWidth="1"/>
    <col min="7440" max="7440" width="9.77734375" style="15" customWidth="1"/>
    <col min="7441" max="7441" width="8.44140625" style="15" customWidth="1"/>
    <col min="7442" max="7444" width="7.6640625" style="15" customWidth="1"/>
    <col min="7445" max="7445" width="14.21875" style="15" bestFit="1" customWidth="1"/>
    <col min="7446" max="7446" width="30.77734375" style="15" customWidth="1"/>
    <col min="7447" max="7463" width="5" style="15" customWidth="1"/>
    <col min="7464" max="7464" width="0" style="15" hidden="1" customWidth="1"/>
    <col min="7465" max="7680" width="8.6640625" style="15"/>
    <col min="7681" max="7681" width="7.6640625" style="15" customWidth="1"/>
    <col min="7682" max="7682" width="9.6640625" style="15" customWidth="1"/>
    <col min="7683" max="7683" width="3.77734375" style="15" customWidth="1"/>
    <col min="7684" max="7684" width="5.77734375" style="15" customWidth="1"/>
    <col min="7685" max="7685" width="5.21875" style="15" customWidth="1"/>
    <col min="7686" max="7686" width="3.21875" style="15" customWidth="1"/>
    <col min="7687" max="7687" width="3.44140625" style="15" customWidth="1"/>
    <col min="7688" max="7692" width="7.21875" style="15" customWidth="1"/>
    <col min="7693" max="7693" width="23.21875" style="15" customWidth="1"/>
    <col min="7694" max="7695" width="5.21875" style="15" customWidth="1"/>
    <col min="7696" max="7696" width="9.77734375" style="15" customWidth="1"/>
    <col min="7697" max="7697" width="8.44140625" style="15" customWidth="1"/>
    <col min="7698" max="7700" width="7.6640625" style="15" customWidth="1"/>
    <col min="7701" max="7701" width="14.21875" style="15" bestFit="1" customWidth="1"/>
    <col min="7702" max="7702" width="30.77734375" style="15" customWidth="1"/>
    <col min="7703" max="7719" width="5" style="15" customWidth="1"/>
    <col min="7720" max="7720" width="0" style="15" hidden="1" customWidth="1"/>
    <col min="7721" max="7936" width="8.6640625" style="15"/>
    <col min="7937" max="7937" width="7.6640625" style="15" customWidth="1"/>
    <col min="7938" max="7938" width="9.6640625" style="15" customWidth="1"/>
    <col min="7939" max="7939" width="3.77734375" style="15" customWidth="1"/>
    <col min="7940" max="7940" width="5.77734375" style="15" customWidth="1"/>
    <col min="7941" max="7941" width="5.21875" style="15" customWidth="1"/>
    <col min="7942" max="7942" width="3.21875" style="15" customWidth="1"/>
    <col min="7943" max="7943" width="3.44140625" style="15" customWidth="1"/>
    <col min="7944" max="7948" width="7.21875" style="15" customWidth="1"/>
    <col min="7949" max="7949" width="23.21875" style="15" customWidth="1"/>
    <col min="7950" max="7951" width="5.21875" style="15" customWidth="1"/>
    <col min="7952" max="7952" width="9.77734375" style="15" customWidth="1"/>
    <col min="7953" max="7953" width="8.44140625" style="15" customWidth="1"/>
    <col min="7954" max="7956" width="7.6640625" style="15" customWidth="1"/>
    <col min="7957" max="7957" width="14.21875" style="15" bestFit="1" customWidth="1"/>
    <col min="7958" max="7958" width="30.77734375" style="15" customWidth="1"/>
    <col min="7959" max="7975" width="5" style="15" customWidth="1"/>
    <col min="7976" max="7976" width="0" style="15" hidden="1" customWidth="1"/>
    <col min="7977" max="8192" width="8.6640625" style="15"/>
    <col min="8193" max="8193" width="7.6640625" style="15" customWidth="1"/>
    <col min="8194" max="8194" width="9.6640625" style="15" customWidth="1"/>
    <col min="8195" max="8195" width="3.77734375" style="15" customWidth="1"/>
    <col min="8196" max="8196" width="5.77734375" style="15" customWidth="1"/>
    <col min="8197" max="8197" width="5.21875" style="15" customWidth="1"/>
    <col min="8198" max="8198" width="3.21875" style="15" customWidth="1"/>
    <col min="8199" max="8199" width="3.44140625" style="15" customWidth="1"/>
    <col min="8200" max="8204" width="7.21875" style="15" customWidth="1"/>
    <col min="8205" max="8205" width="23.21875" style="15" customWidth="1"/>
    <col min="8206" max="8207" width="5.21875" style="15" customWidth="1"/>
    <col min="8208" max="8208" width="9.77734375" style="15" customWidth="1"/>
    <col min="8209" max="8209" width="8.44140625" style="15" customWidth="1"/>
    <col min="8210" max="8212" width="7.6640625" style="15" customWidth="1"/>
    <col min="8213" max="8213" width="14.21875" style="15" bestFit="1" customWidth="1"/>
    <col min="8214" max="8214" width="30.77734375" style="15" customWidth="1"/>
    <col min="8215" max="8231" width="5" style="15" customWidth="1"/>
    <col min="8232" max="8232" width="0" style="15" hidden="1" customWidth="1"/>
    <col min="8233" max="8448" width="8.6640625" style="15"/>
    <col min="8449" max="8449" width="7.6640625" style="15" customWidth="1"/>
    <col min="8450" max="8450" width="9.6640625" style="15" customWidth="1"/>
    <col min="8451" max="8451" width="3.77734375" style="15" customWidth="1"/>
    <col min="8452" max="8452" width="5.77734375" style="15" customWidth="1"/>
    <col min="8453" max="8453" width="5.21875" style="15" customWidth="1"/>
    <col min="8454" max="8454" width="3.21875" style="15" customWidth="1"/>
    <col min="8455" max="8455" width="3.44140625" style="15" customWidth="1"/>
    <col min="8456" max="8460" width="7.21875" style="15" customWidth="1"/>
    <col min="8461" max="8461" width="23.21875" style="15" customWidth="1"/>
    <col min="8462" max="8463" width="5.21875" style="15" customWidth="1"/>
    <col min="8464" max="8464" width="9.77734375" style="15" customWidth="1"/>
    <col min="8465" max="8465" width="8.44140625" style="15" customWidth="1"/>
    <col min="8466" max="8468" width="7.6640625" style="15" customWidth="1"/>
    <col min="8469" max="8469" width="14.21875" style="15" bestFit="1" customWidth="1"/>
    <col min="8470" max="8470" width="30.77734375" style="15" customWidth="1"/>
    <col min="8471" max="8487" width="5" style="15" customWidth="1"/>
    <col min="8488" max="8488" width="0" style="15" hidden="1" customWidth="1"/>
    <col min="8489" max="8704" width="8.6640625" style="15"/>
    <col min="8705" max="8705" width="7.6640625" style="15" customWidth="1"/>
    <col min="8706" max="8706" width="9.6640625" style="15" customWidth="1"/>
    <col min="8707" max="8707" width="3.77734375" style="15" customWidth="1"/>
    <col min="8708" max="8708" width="5.77734375" style="15" customWidth="1"/>
    <col min="8709" max="8709" width="5.21875" style="15" customWidth="1"/>
    <col min="8710" max="8710" width="3.21875" style="15" customWidth="1"/>
    <col min="8711" max="8711" width="3.44140625" style="15" customWidth="1"/>
    <col min="8712" max="8716" width="7.21875" style="15" customWidth="1"/>
    <col min="8717" max="8717" width="23.21875" style="15" customWidth="1"/>
    <col min="8718" max="8719" width="5.21875" style="15" customWidth="1"/>
    <col min="8720" max="8720" width="9.77734375" style="15" customWidth="1"/>
    <col min="8721" max="8721" width="8.44140625" style="15" customWidth="1"/>
    <col min="8722" max="8724" width="7.6640625" style="15" customWidth="1"/>
    <col min="8725" max="8725" width="14.21875" style="15" bestFit="1" customWidth="1"/>
    <col min="8726" max="8726" width="30.77734375" style="15" customWidth="1"/>
    <col min="8727" max="8743" width="5" style="15" customWidth="1"/>
    <col min="8744" max="8744" width="0" style="15" hidden="1" customWidth="1"/>
    <col min="8745" max="8960" width="8.6640625" style="15"/>
    <col min="8961" max="8961" width="7.6640625" style="15" customWidth="1"/>
    <col min="8962" max="8962" width="9.6640625" style="15" customWidth="1"/>
    <col min="8963" max="8963" width="3.77734375" style="15" customWidth="1"/>
    <col min="8964" max="8964" width="5.77734375" style="15" customWidth="1"/>
    <col min="8965" max="8965" width="5.21875" style="15" customWidth="1"/>
    <col min="8966" max="8966" width="3.21875" style="15" customWidth="1"/>
    <col min="8967" max="8967" width="3.44140625" style="15" customWidth="1"/>
    <col min="8968" max="8972" width="7.21875" style="15" customWidth="1"/>
    <col min="8973" max="8973" width="23.21875" style="15" customWidth="1"/>
    <col min="8974" max="8975" width="5.21875" style="15" customWidth="1"/>
    <col min="8976" max="8976" width="9.77734375" style="15" customWidth="1"/>
    <col min="8977" max="8977" width="8.44140625" style="15" customWidth="1"/>
    <col min="8978" max="8980" width="7.6640625" style="15" customWidth="1"/>
    <col min="8981" max="8981" width="14.21875" style="15" bestFit="1" customWidth="1"/>
    <col min="8982" max="8982" width="30.77734375" style="15" customWidth="1"/>
    <col min="8983" max="8999" width="5" style="15" customWidth="1"/>
    <col min="9000" max="9000" width="0" style="15" hidden="1" customWidth="1"/>
    <col min="9001" max="9216" width="8.6640625" style="15"/>
    <col min="9217" max="9217" width="7.6640625" style="15" customWidth="1"/>
    <col min="9218" max="9218" width="9.6640625" style="15" customWidth="1"/>
    <col min="9219" max="9219" width="3.77734375" style="15" customWidth="1"/>
    <col min="9220" max="9220" width="5.77734375" style="15" customWidth="1"/>
    <col min="9221" max="9221" width="5.21875" style="15" customWidth="1"/>
    <col min="9222" max="9222" width="3.21875" style="15" customWidth="1"/>
    <col min="9223" max="9223" width="3.44140625" style="15" customWidth="1"/>
    <col min="9224" max="9228" width="7.21875" style="15" customWidth="1"/>
    <col min="9229" max="9229" width="23.21875" style="15" customWidth="1"/>
    <col min="9230" max="9231" width="5.21875" style="15" customWidth="1"/>
    <col min="9232" max="9232" width="9.77734375" style="15" customWidth="1"/>
    <col min="9233" max="9233" width="8.44140625" style="15" customWidth="1"/>
    <col min="9234" max="9236" width="7.6640625" style="15" customWidth="1"/>
    <col min="9237" max="9237" width="14.21875" style="15" bestFit="1" customWidth="1"/>
    <col min="9238" max="9238" width="30.77734375" style="15" customWidth="1"/>
    <col min="9239" max="9255" width="5" style="15" customWidth="1"/>
    <col min="9256" max="9256" width="0" style="15" hidden="1" customWidth="1"/>
    <col min="9257" max="9472" width="8.6640625" style="15"/>
    <col min="9473" max="9473" width="7.6640625" style="15" customWidth="1"/>
    <col min="9474" max="9474" width="9.6640625" style="15" customWidth="1"/>
    <col min="9475" max="9475" width="3.77734375" style="15" customWidth="1"/>
    <col min="9476" max="9476" width="5.77734375" style="15" customWidth="1"/>
    <col min="9477" max="9477" width="5.21875" style="15" customWidth="1"/>
    <col min="9478" max="9478" width="3.21875" style="15" customWidth="1"/>
    <col min="9479" max="9479" width="3.44140625" style="15" customWidth="1"/>
    <col min="9480" max="9484" width="7.21875" style="15" customWidth="1"/>
    <col min="9485" max="9485" width="23.21875" style="15" customWidth="1"/>
    <col min="9486" max="9487" width="5.21875" style="15" customWidth="1"/>
    <col min="9488" max="9488" width="9.77734375" style="15" customWidth="1"/>
    <col min="9489" max="9489" width="8.44140625" style="15" customWidth="1"/>
    <col min="9490" max="9492" width="7.6640625" style="15" customWidth="1"/>
    <col min="9493" max="9493" width="14.21875" style="15" bestFit="1" customWidth="1"/>
    <col min="9494" max="9494" width="30.77734375" style="15" customWidth="1"/>
    <col min="9495" max="9511" width="5" style="15" customWidth="1"/>
    <col min="9512" max="9512" width="0" style="15" hidden="1" customWidth="1"/>
    <col min="9513" max="9728" width="8.6640625" style="15"/>
    <col min="9729" max="9729" width="7.6640625" style="15" customWidth="1"/>
    <col min="9730" max="9730" width="9.6640625" style="15" customWidth="1"/>
    <col min="9731" max="9731" width="3.77734375" style="15" customWidth="1"/>
    <col min="9732" max="9732" width="5.77734375" style="15" customWidth="1"/>
    <col min="9733" max="9733" width="5.21875" style="15" customWidth="1"/>
    <col min="9734" max="9734" width="3.21875" style="15" customWidth="1"/>
    <col min="9735" max="9735" width="3.44140625" style="15" customWidth="1"/>
    <col min="9736" max="9740" width="7.21875" style="15" customWidth="1"/>
    <col min="9741" max="9741" width="23.21875" style="15" customWidth="1"/>
    <col min="9742" max="9743" width="5.21875" style="15" customWidth="1"/>
    <col min="9744" max="9744" width="9.77734375" style="15" customWidth="1"/>
    <col min="9745" max="9745" width="8.44140625" style="15" customWidth="1"/>
    <col min="9746" max="9748" width="7.6640625" style="15" customWidth="1"/>
    <col min="9749" max="9749" width="14.21875" style="15" bestFit="1" customWidth="1"/>
    <col min="9750" max="9750" width="30.77734375" style="15" customWidth="1"/>
    <col min="9751" max="9767" width="5" style="15" customWidth="1"/>
    <col min="9768" max="9768" width="0" style="15" hidden="1" customWidth="1"/>
    <col min="9769" max="9984" width="8.6640625" style="15"/>
    <col min="9985" max="9985" width="7.6640625" style="15" customWidth="1"/>
    <col min="9986" max="9986" width="9.6640625" style="15" customWidth="1"/>
    <col min="9987" max="9987" width="3.77734375" style="15" customWidth="1"/>
    <col min="9988" max="9988" width="5.77734375" style="15" customWidth="1"/>
    <col min="9989" max="9989" width="5.21875" style="15" customWidth="1"/>
    <col min="9990" max="9990" width="3.21875" style="15" customWidth="1"/>
    <col min="9991" max="9991" width="3.44140625" style="15" customWidth="1"/>
    <col min="9992" max="9996" width="7.21875" style="15" customWidth="1"/>
    <col min="9997" max="9997" width="23.21875" style="15" customWidth="1"/>
    <col min="9998" max="9999" width="5.21875" style="15" customWidth="1"/>
    <col min="10000" max="10000" width="9.77734375" style="15" customWidth="1"/>
    <col min="10001" max="10001" width="8.44140625" style="15" customWidth="1"/>
    <col min="10002" max="10004" width="7.6640625" style="15" customWidth="1"/>
    <col min="10005" max="10005" width="14.21875" style="15" bestFit="1" customWidth="1"/>
    <col min="10006" max="10006" width="30.77734375" style="15" customWidth="1"/>
    <col min="10007" max="10023" width="5" style="15" customWidth="1"/>
    <col min="10024" max="10024" width="0" style="15" hidden="1" customWidth="1"/>
    <col min="10025" max="10240" width="8.6640625" style="15"/>
    <col min="10241" max="10241" width="7.6640625" style="15" customWidth="1"/>
    <col min="10242" max="10242" width="9.6640625" style="15" customWidth="1"/>
    <col min="10243" max="10243" width="3.77734375" style="15" customWidth="1"/>
    <col min="10244" max="10244" width="5.77734375" style="15" customWidth="1"/>
    <col min="10245" max="10245" width="5.21875" style="15" customWidth="1"/>
    <col min="10246" max="10246" width="3.21875" style="15" customWidth="1"/>
    <col min="10247" max="10247" width="3.44140625" style="15" customWidth="1"/>
    <col min="10248" max="10252" width="7.21875" style="15" customWidth="1"/>
    <col min="10253" max="10253" width="23.21875" style="15" customWidth="1"/>
    <col min="10254" max="10255" width="5.21875" style="15" customWidth="1"/>
    <col min="10256" max="10256" width="9.77734375" style="15" customWidth="1"/>
    <col min="10257" max="10257" width="8.44140625" style="15" customWidth="1"/>
    <col min="10258" max="10260" width="7.6640625" style="15" customWidth="1"/>
    <col min="10261" max="10261" width="14.21875" style="15" bestFit="1" customWidth="1"/>
    <col min="10262" max="10262" width="30.77734375" style="15" customWidth="1"/>
    <col min="10263" max="10279" width="5" style="15" customWidth="1"/>
    <col min="10280" max="10280" width="0" style="15" hidden="1" customWidth="1"/>
    <col min="10281" max="10496" width="8.6640625" style="15"/>
    <col min="10497" max="10497" width="7.6640625" style="15" customWidth="1"/>
    <col min="10498" max="10498" width="9.6640625" style="15" customWidth="1"/>
    <col min="10499" max="10499" width="3.77734375" style="15" customWidth="1"/>
    <col min="10500" max="10500" width="5.77734375" style="15" customWidth="1"/>
    <col min="10501" max="10501" width="5.21875" style="15" customWidth="1"/>
    <col min="10502" max="10502" width="3.21875" style="15" customWidth="1"/>
    <col min="10503" max="10503" width="3.44140625" style="15" customWidth="1"/>
    <col min="10504" max="10508" width="7.21875" style="15" customWidth="1"/>
    <col min="10509" max="10509" width="23.21875" style="15" customWidth="1"/>
    <col min="10510" max="10511" width="5.21875" style="15" customWidth="1"/>
    <col min="10512" max="10512" width="9.77734375" style="15" customWidth="1"/>
    <col min="10513" max="10513" width="8.44140625" style="15" customWidth="1"/>
    <col min="10514" max="10516" width="7.6640625" style="15" customWidth="1"/>
    <col min="10517" max="10517" width="14.21875" style="15" bestFit="1" customWidth="1"/>
    <col min="10518" max="10518" width="30.77734375" style="15" customWidth="1"/>
    <col min="10519" max="10535" width="5" style="15" customWidth="1"/>
    <col min="10536" max="10536" width="0" style="15" hidden="1" customWidth="1"/>
    <col min="10537" max="10752" width="8.6640625" style="15"/>
    <col min="10753" max="10753" width="7.6640625" style="15" customWidth="1"/>
    <col min="10754" max="10754" width="9.6640625" style="15" customWidth="1"/>
    <col min="10755" max="10755" width="3.77734375" style="15" customWidth="1"/>
    <col min="10756" max="10756" width="5.77734375" style="15" customWidth="1"/>
    <col min="10757" max="10757" width="5.21875" style="15" customWidth="1"/>
    <col min="10758" max="10758" width="3.21875" style="15" customWidth="1"/>
    <col min="10759" max="10759" width="3.44140625" style="15" customWidth="1"/>
    <col min="10760" max="10764" width="7.21875" style="15" customWidth="1"/>
    <col min="10765" max="10765" width="23.21875" style="15" customWidth="1"/>
    <col min="10766" max="10767" width="5.21875" style="15" customWidth="1"/>
    <col min="10768" max="10768" width="9.77734375" style="15" customWidth="1"/>
    <col min="10769" max="10769" width="8.44140625" style="15" customWidth="1"/>
    <col min="10770" max="10772" width="7.6640625" style="15" customWidth="1"/>
    <col min="10773" max="10773" width="14.21875" style="15" bestFit="1" customWidth="1"/>
    <col min="10774" max="10774" width="30.77734375" style="15" customWidth="1"/>
    <col min="10775" max="10791" width="5" style="15" customWidth="1"/>
    <col min="10792" max="10792" width="0" style="15" hidden="1" customWidth="1"/>
    <col min="10793" max="11008" width="8.6640625" style="15"/>
    <col min="11009" max="11009" width="7.6640625" style="15" customWidth="1"/>
    <col min="11010" max="11010" width="9.6640625" style="15" customWidth="1"/>
    <col min="11011" max="11011" width="3.77734375" style="15" customWidth="1"/>
    <col min="11012" max="11012" width="5.77734375" style="15" customWidth="1"/>
    <col min="11013" max="11013" width="5.21875" style="15" customWidth="1"/>
    <col min="11014" max="11014" width="3.21875" style="15" customWidth="1"/>
    <col min="11015" max="11015" width="3.44140625" style="15" customWidth="1"/>
    <col min="11016" max="11020" width="7.21875" style="15" customWidth="1"/>
    <col min="11021" max="11021" width="23.21875" style="15" customWidth="1"/>
    <col min="11022" max="11023" width="5.21875" style="15" customWidth="1"/>
    <col min="11024" max="11024" width="9.77734375" style="15" customWidth="1"/>
    <col min="11025" max="11025" width="8.44140625" style="15" customWidth="1"/>
    <col min="11026" max="11028" width="7.6640625" style="15" customWidth="1"/>
    <col min="11029" max="11029" width="14.21875" style="15" bestFit="1" customWidth="1"/>
    <col min="11030" max="11030" width="30.77734375" style="15" customWidth="1"/>
    <col min="11031" max="11047" width="5" style="15" customWidth="1"/>
    <col min="11048" max="11048" width="0" style="15" hidden="1" customWidth="1"/>
    <col min="11049" max="11264" width="8.6640625" style="15"/>
    <col min="11265" max="11265" width="7.6640625" style="15" customWidth="1"/>
    <col min="11266" max="11266" width="9.6640625" style="15" customWidth="1"/>
    <col min="11267" max="11267" width="3.77734375" style="15" customWidth="1"/>
    <col min="11268" max="11268" width="5.77734375" style="15" customWidth="1"/>
    <col min="11269" max="11269" width="5.21875" style="15" customWidth="1"/>
    <col min="11270" max="11270" width="3.21875" style="15" customWidth="1"/>
    <col min="11271" max="11271" width="3.44140625" style="15" customWidth="1"/>
    <col min="11272" max="11276" width="7.21875" style="15" customWidth="1"/>
    <col min="11277" max="11277" width="23.21875" style="15" customWidth="1"/>
    <col min="11278" max="11279" width="5.21875" style="15" customWidth="1"/>
    <col min="11280" max="11280" width="9.77734375" style="15" customWidth="1"/>
    <col min="11281" max="11281" width="8.44140625" style="15" customWidth="1"/>
    <col min="11282" max="11284" width="7.6640625" style="15" customWidth="1"/>
    <col min="11285" max="11285" width="14.21875" style="15" bestFit="1" customWidth="1"/>
    <col min="11286" max="11286" width="30.77734375" style="15" customWidth="1"/>
    <col min="11287" max="11303" width="5" style="15" customWidth="1"/>
    <col min="11304" max="11304" width="0" style="15" hidden="1" customWidth="1"/>
    <col min="11305" max="11520" width="8.6640625" style="15"/>
    <col min="11521" max="11521" width="7.6640625" style="15" customWidth="1"/>
    <col min="11522" max="11522" width="9.6640625" style="15" customWidth="1"/>
    <col min="11523" max="11523" width="3.77734375" style="15" customWidth="1"/>
    <col min="11524" max="11524" width="5.77734375" style="15" customWidth="1"/>
    <col min="11525" max="11525" width="5.21875" style="15" customWidth="1"/>
    <col min="11526" max="11526" width="3.21875" style="15" customWidth="1"/>
    <col min="11527" max="11527" width="3.44140625" style="15" customWidth="1"/>
    <col min="11528" max="11532" width="7.21875" style="15" customWidth="1"/>
    <col min="11533" max="11533" width="23.21875" style="15" customWidth="1"/>
    <col min="11534" max="11535" width="5.21875" style="15" customWidth="1"/>
    <col min="11536" max="11536" width="9.77734375" style="15" customWidth="1"/>
    <col min="11537" max="11537" width="8.44140625" style="15" customWidth="1"/>
    <col min="11538" max="11540" width="7.6640625" style="15" customWidth="1"/>
    <col min="11541" max="11541" width="14.21875" style="15" bestFit="1" customWidth="1"/>
    <col min="11542" max="11542" width="30.77734375" style="15" customWidth="1"/>
    <col min="11543" max="11559" width="5" style="15" customWidth="1"/>
    <col min="11560" max="11560" width="0" style="15" hidden="1" customWidth="1"/>
    <col min="11561" max="11776" width="8.6640625" style="15"/>
    <col min="11777" max="11777" width="7.6640625" style="15" customWidth="1"/>
    <col min="11778" max="11778" width="9.6640625" style="15" customWidth="1"/>
    <col min="11779" max="11779" width="3.77734375" style="15" customWidth="1"/>
    <col min="11780" max="11780" width="5.77734375" style="15" customWidth="1"/>
    <col min="11781" max="11781" width="5.21875" style="15" customWidth="1"/>
    <col min="11782" max="11782" width="3.21875" style="15" customWidth="1"/>
    <col min="11783" max="11783" width="3.44140625" style="15" customWidth="1"/>
    <col min="11784" max="11788" width="7.21875" style="15" customWidth="1"/>
    <col min="11789" max="11789" width="23.21875" style="15" customWidth="1"/>
    <col min="11790" max="11791" width="5.21875" style="15" customWidth="1"/>
    <col min="11792" max="11792" width="9.77734375" style="15" customWidth="1"/>
    <col min="11793" max="11793" width="8.44140625" style="15" customWidth="1"/>
    <col min="11794" max="11796" width="7.6640625" style="15" customWidth="1"/>
    <col min="11797" max="11797" width="14.21875" style="15" bestFit="1" customWidth="1"/>
    <col min="11798" max="11798" width="30.77734375" style="15" customWidth="1"/>
    <col min="11799" max="11815" width="5" style="15" customWidth="1"/>
    <col min="11816" max="11816" width="0" style="15" hidden="1" customWidth="1"/>
    <col min="11817" max="12032" width="8.6640625" style="15"/>
    <col min="12033" max="12033" width="7.6640625" style="15" customWidth="1"/>
    <col min="12034" max="12034" width="9.6640625" style="15" customWidth="1"/>
    <col min="12035" max="12035" width="3.77734375" style="15" customWidth="1"/>
    <col min="12036" max="12036" width="5.77734375" style="15" customWidth="1"/>
    <col min="12037" max="12037" width="5.21875" style="15" customWidth="1"/>
    <col min="12038" max="12038" width="3.21875" style="15" customWidth="1"/>
    <col min="12039" max="12039" width="3.44140625" style="15" customWidth="1"/>
    <col min="12040" max="12044" width="7.21875" style="15" customWidth="1"/>
    <col min="12045" max="12045" width="23.21875" style="15" customWidth="1"/>
    <col min="12046" max="12047" width="5.21875" style="15" customWidth="1"/>
    <col min="12048" max="12048" width="9.77734375" style="15" customWidth="1"/>
    <col min="12049" max="12049" width="8.44140625" style="15" customWidth="1"/>
    <col min="12050" max="12052" width="7.6640625" style="15" customWidth="1"/>
    <col min="12053" max="12053" width="14.21875" style="15" bestFit="1" customWidth="1"/>
    <col min="12054" max="12054" width="30.77734375" style="15" customWidth="1"/>
    <col min="12055" max="12071" width="5" style="15" customWidth="1"/>
    <col min="12072" max="12072" width="0" style="15" hidden="1" customWidth="1"/>
    <col min="12073" max="12288" width="8.6640625" style="15"/>
    <col min="12289" max="12289" width="7.6640625" style="15" customWidth="1"/>
    <col min="12290" max="12290" width="9.6640625" style="15" customWidth="1"/>
    <col min="12291" max="12291" width="3.77734375" style="15" customWidth="1"/>
    <col min="12292" max="12292" width="5.77734375" style="15" customWidth="1"/>
    <col min="12293" max="12293" width="5.21875" style="15" customWidth="1"/>
    <col min="12294" max="12294" width="3.21875" style="15" customWidth="1"/>
    <col min="12295" max="12295" width="3.44140625" style="15" customWidth="1"/>
    <col min="12296" max="12300" width="7.21875" style="15" customWidth="1"/>
    <col min="12301" max="12301" width="23.21875" style="15" customWidth="1"/>
    <col min="12302" max="12303" width="5.21875" style="15" customWidth="1"/>
    <col min="12304" max="12304" width="9.77734375" style="15" customWidth="1"/>
    <col min="12305" max="12305" width="8.44140625" style="15" customWidth="1"/>
    <col min="12306" max="12308" width="7.6640625" style="15" customWidth="1"/>
    <col min="12309" max="12309" width="14.21875" style="15" bestFit="1" customWidth="1"/>
    <col min="12310" max="12310" width="30.77734375" style="15" customWidth="1"/>
    <col min="12311" max="12327" width="5" style="15" customWidth="1"/>
    <col min="12328" max="12328" width="0" style="15" hidden="1" customWidth="1"/>
    <col min="12329" max="12544" width="8.6640625" style="15"/>
    <col min="12545" max="12545" width="7.6640625" style="15" customWidth="1"/>
    <col min="12546" max="12546" width="9.6640625" style="15" customWidth="1"/>
    <col min="12547" max="12547" width="3.77734375" style="15" customWidth="1"/>
    <col min="12548" max="12548" width="5.77734375" style="15" customWidth="1"/>
    <col min="12549" max="12549" width="5.21875" style="15" customWidth="1"/>
    <col min="12550" max="12550" width="3.21875" style="15" customWidth="1"/>
    <col min="12551" max="12551" width="3.44140625" style="15" customWidth="1"/>
    <col min="12552" max="12556" width="7.21875" style="15" customWidth="1"/>
    <col min="12557" max="12557" width="23.21875" style="15" customWidth="1"/>
    <col min="12558" max="12559" width="5.21875" style="15" customWidth="1"/>
    <col min="12560" max="12560" width="9.77734375" style="15" customWidth="1"/>
    <col min="12561" max="12561" width="8.44140625" style="15" customWidth="1"/>
    <col min="12562" max="12564" width="7.6640625" style="15" customWidth="1"/>
    <col min="12565" max="12565" width="14.21875" style="15" bestFit="1" customWidth="1"/>
    <col min="12566" max="12566" width="30.77734375" style="15" customWidth="1"/>
    <col min="12567" max="12583" width="5" style="15" customWidth="1"/>
    <col min="12584" max="12584" width="0" style="15" hidden="1" customWidth="1"/>
    <col min="12585" max="12800" width="8.6640625" style="15"/>
    <col min="12801" max="12801" width="7.6640625" style="15" customWidth="1"/>
    <col min="12802" max="12802" width="9.6640625" style="15" customWidth="1"/>
    <col min="12803" max="12803" width="3.77734375" style="15" customWidth="1"/>
    <col min="12804" max="12804" width="5.77734375" style="15" customWidth="1"/>
    <col min="12805" max="12805" width="5.21875" style="15" customWidth="1"/>
    <col min="12806" max="12806" width="3.21875" style="15" customWidth="1"/>
    <col min="12807" max="12807" width="3.44140625" style="15" customWidth="1"/>
    <col min="12808" max="12812" width="7.21875" style="15" customWidth="1"/>
    <col min="12813" max="12813" width="23.21875" style="15" customWidth="1"/>
    <col min="12814" max="12815" width="5.21875" style="15" customWidth="1"/>
    <col min="12816" max="12816" width="9.77734375" style="15" customWidth="1"/>
    <col min="12817" max="12817" width="8.44140625" style="15" customWidth="1"/>
    <col min="12818" max="12820" width="7.6640625" style="15" customWidth="1"/>
    <col min="12821" max="12821" width="14.21875" style="15" bestFit="1" customWidth="1"/>
    <col min="12822" max="12822" width="30.77734375" style="15" customWidth="1"/>
    <col min="12823" max="12839" width="5" style="15" customWidth="1"/>
    <col min="12840" max="12840" width="0" style="15" hidden="1" customWidth="1"/>
    <col min="12841" max="13056" width="8.6640625" style="15"/>
    <col min="13057" max="13057" width="7.6640625" style="15" customWidth="1"/>
    <col min="13058" max="13058" width="9.6640625" style="15" customWidth="1"/>
    <col min="13059" max="13059" width="3.77734375" style="15" customWidth="1"/>
    <col min="13060" max="13060" width="5.77734375" style="15" customWidth="1"/>
    <col min="13061" max="13061" width="5.21875" style="15" customWidth="1"/>
    <col min="13062" max="13062" width="3.21875" style="15" customWidth="1"/>
    <col min="13063" max="13063" width="3.44140625" style="15" customWidth="1"/>
    <col min="13064" max="13068" width="7.21875" style="15" customWidth="1"/>
    <col min="13069" max="13069" width="23.21875" style="15" customWidth="1"/>
    <col min="13070" max="13071" width="5.21875" style="15" customWidth="1"/>
    <col min="13072" max="13072" width="9.77734375" style="15" customWidth="1"/>
    <col min="13073" max="13073" width="8.44140625" style="15" customWidth="1"/>
    <col min="13074" max="13076" width="7.6640625" style="15" customWidth="1"/>
    <col min="13077" max="13077" width="14.21875" style="15" bestFit="1" customWidth="1"/>
    <col min="13078" max="13078" width="30.77734375" style="15" customWidth="1"/>
    <col min="13079" max="13095" width="5" style="15" customWidth="1"/>
    <col min="13096" max="13096" width="0" style="15" hidden="1" customWidth="1"/>
    <col min="13097" max="13312" width="8.6640625" style="15"/>
    <col min="13313" max="13313" width="7.6640625" style="15" customWidth="1"/>
    <col min="13314" max="13314" width="9.6640625" style="15" customWidth="1"/>
    <col min="13315" max="13315" width="3.77734375" style="15" customWidth="1"/>
    <col min="13316" max="13316" width="5.77734375" style="15" customWidth="1"/>
    <col min="13317" max="13317" width="5.21875" style="15" customWidth="1"/>
    <col min="13318" max="13318" width="3.21875" style="15" customWidth="1"/>
    <col min="13319" max="13319" width="3.44140625" style="15" customWidth="1"/>
    <col min="13320" max="13324" width="7.21875" style="15" customWidth="1"/>
    <col min="13325" max="13325" width="23.21875" style="15" customWidth="1"/>
    <col min="13326" max="13327" width="5.21875" style="15" customWidth="1"/>
    <col min="13328" max="13328" width="9.77734375" style="15" customWidth="1"/>
    <col min="13329" max="13329" width="8.44140625" style="15" customWidth="1"/>
    <col min="13330" max="13332" width="7.6640625" style="15" customWidth="1"/>
    <col min="13333" max="13333" width="14.21875" style="15" bestFit="1" customWidth="1"/>
    <col min="13334" max="13334" width="30.77734375" style="15" customWidth="1"/>
    <col min="13335" max="13351" width="5" style="15" customWidth="1"/>
    <col min="13352" max="13352" width="0" style="15" hidden="1" customWidth="1"/>
    <col min="13353" max="13568" width="8.6640625" style="15"/>
    <col min="13569" max="13569" width="7.6640625" style="15" customWidth="1"/>
    <col min="13570" max="13570" width="9.6640625" style="15" customWidth="1"/>
    <col min="13571" max="13571" width="3.77734375" style="15" customWidth="1"/>
    <col min="13572" max="13572" width="5.77734375" style="15" customWidth="1"/>
    <col min="13573" max="13573" width="5.21875" style="15" customWidth="1"/>
    <col min="13574" max="13574" width="3.21875" style="15" customWidth="1"/>
    <col min="13575" max="13575" width="3.44140625" style="15" customWidth="1"/>
    <col min="13576" max="13580" width="7.21875" style="15" customWidth="1"/>
    <col min="13581" max="13581" width="23.21875" style="15" customWidth="1"/>
    <col min="13582" max="13583" width="5.21875" style="15" customWidth="1"/>
    <col min="13584" max="13584" width="9.77734375" style="15" customWidth="1"/>
    <col min="13585" max="13585" width="8.44140625" style="15" customWidth="1"/>
    <col min="13586" max="13588" width="7.6640625" style="15" customWidth="1"/>
    <col min="13589" max="13589" width="14.21875" style="15" bestFit="1" customWidth="1"/>
    <col min="13590" max="13590" width="30.77734375" style="15" customWidth="1"/>
    <col min="13591" max="13607" width="5" style="15" customWidth="1"/>
    <col min="13608" max="13608" width="0" style="15" hidden="1" customWidth="1"/>
    <col min="13609" max="13824" width="8.6640625" style="15"/>
    <col min="13825" max="13825" width="7.6640625" style="15" customWidth="1"/>
    <col min="13826" max="13826" width="9.6640625" style="15" customWidth="1"/>
    <col min="13827" max="13827" width="3.77734375" style="15" customWidth="1"/>
    <col min="13828" max="13828" width="5.77734375" style="15" customWidth="1"/>
    <col min="13829" max="13829" width="5.21875" style="15" customWidth="1"/>
    <col min="13830" max="13830" width="3.21875" style="15" customWidth="1"/>
    <col min="13831" max="13831" width="3.44140625" style="15" customWidth="1"/>
    <col min="13832" max="13836" width="7.21875" style="15" customWidth="1"/>
    <col min="13837" max="13837" width="23.21875" style="15" customWidth="1"/>
    <col min="13838" max="13839" width="5.21875" style="15" customWidth="1"/>
    <col min="13840" max="13840" width="9.77734375" style="15" customWidth="1"/>
    <col min="13841" max="13841" width="8.44140625" style="15" customWidth="1"/>
    <col min="13842" max="13844" width="7.6640625" style="15" customWidth="1"/>
    <col min="13845" max="13845" width="14.21875" style="15" bestFit="1" customWidth="1"/>
    <col min="13846" max="13846" width="30.77734375" style="15" customWidth="1"/>
    <col min="13847" max="13863" width="5" style="15" customWidth="1"/>
    <col min="13864" max="13864" width="0" style="15" hidden="1" customWidth="1"/>
    <col min="13865" max="14080" width="8.6640625" style="15"/>
    <col min="14081" max="14081" width="7.6640625" style="15" customWidth="1"/>
    <col min="14082" max="14082" width="9.6640625" style="15" customWidth="1"/>
    <col min="14083" max="14083" width="3.77734375" style="15" customWidth="1"/>
    <col min="14084" max="14084" width="5.77734375" style="15" customWidth="1"/>
    <col min="14085" max="14085" width="5.21875" style="15" customWidth="1"/>
    <col min="14086" max="14086" width="3.21875" style="15" customWidth="1"/>
    <col min="14087" max="14087" width="3.44140625" style="15" customWidth="1"/>
    <col min="14088" max="14092" width="7.21875" style="15" customWidth="1"/>
    <col min="14093" max="14093" width="23.21875" style="15" customWidth="1"/>
    <col min="14094" max="14095" width="5.21875" style="15" customWidth="1"/>
    <col min="14096" max="14096" width="9.77734375" style="15" customWidth="1"/>
    <col min="14097" max="14097" width="8.44140625" style="15" customWidth="1"/>
    <col min="14098" max="14100" width="7.6640625" style="15" customWidth="1"/>
    <col min="14101" max="14101" width="14.21875" style="15" bestFit="1" customWidth="1"/>
    <col min="14102" max="14102" width="30.77734375" style="15" customWidth="1"/>
    <col min="14103" max="14119" width="5" style="15" customWidth="1"/>
    <col min="14120" max="14120" width="0" style="15" hidden="1" customWidth="1"/>
    <col min="14121" max="14336" width="8.6640625" style="15"/>
    <col min="14337" max="14337" width="7.6640625" style="15" customWidth="1"/>
    <col min="14338" max="14338" width="9.6640625" style="15" customWidth="1"/>
    <col min="14339" max="14339" width="3.77734375" style="15" customWidth="1"/>
    <col min="14340" max="14340" width="5.77734375" style="15" customWidth="1"/>
    <col min="14341" max="14341" width="5.21875" style="15" customWidth="1"/>
    <col min="14342" max="14342" width="3.21875" style="15" customWidth="1"/>
    <col min="14343" max="14343" width="3.44140625" style="15" customWidth="1"/>
    <col min="14344" max="14348" width="7.21875" style="15" customWidth="1"/>
    <col min="14349" max="14349" width="23.21875" style="15" customWidth="1"/>
    <col min="14350" max="14351" width="5.21875" style="15" customWidth="1"/>
    <col min="14352" max="14352" width="9.77734375" style="15" customWidth="1"/>
    <col min="14353" max="14353" width="8.44140625" style="15" customWidth="1"/>
    <col min="14354" max="14356" width="7.6640625" style="15" customWidth="1"/>
    <col min="14357" max="14357" width="14.21875" style="15" bestFit="1" customWidth="1"/>
    <col min="14358" max="14358" width="30.77734375" style="15" customWidth="1"/>
    <col min="14359" max="14375" width="5" style="15" customWidth="1"/>
    <col min="14376" max="14376" width="0" style="15" hidden="1" customWidth="1"/>
    <col min="14377" max="14592" width="8.6640625" style="15"/>
    <col min="14593" max="14593" width="7.6640625" style="15" customWidth="1"/>
    <col min="14594" max="14594" width="9.6640625" style="15" customWidth="1"/>
    <col min="14595" max="14595" width="3.77734375" style="15" customWidth="1"/>
    <col min="14596" max="14596" width="5.77734375" style="15" customWidth="1"/>
    <col min="14597" max="14597" width="5.21875" style="15" customWidth="1"/>
    <col min="14598" max="14598" width="3.21875" style="15" customWidth="1"/>
    <col min="14599" max="14599" width="3.44140625" style="15" customWidth="1"/>
    <col min="14600" max="14604" width="7.21875" style="15" customWidth="1"/>
    <col min="14605" max="14605" width="23.21875" style="15" customWidth="1"/>
    <col min="14606" max="14607" width="5.21875" style="15" customWidth="1"/>
    <col min="14608" max="14608" width="9.77734375" style="15" customWidth="1"/>
    <col min="14609" max="14609" width="8.44140625" style="15" customWidth="1"/>
    <col min="14610" max="14612" width="7.6640625" style="15" customWidth="1"/>
    <col min="14613" max="14613" width="14.21875" style="15" bestFit="1" customWidth="1"/>
    <col min="14614" max="14614" width="30.77734375" style="15" customWidth="1"/>
    <col min="14615" max="14631" width="5" style="15" customWidth="1"/>
    <col min="14632" max="14632" width="0" style="15" hidden="1" customWidth="1"/>
    <col min="14633" max="14848" width="8.6640625" style="15"/>
    <col min="14849" max="14849" width="7.6640625" style="15" customWidth="1"/>
    <col min="14850" max="14850" width="9.6640625" style="15" customWidth="1"/>
    <col min="14851" max="14851" width="3.77734375" style="15" customWidth="1"/>
    <col min="14852" max="14852" width="5.77734375" style="15" customWidth="1"/>
    <col min="14853" max="14853" width="5.21875" style="15" customWidth="1"/>
    <col min="14854" max="14854" width="3.21875" style="15" customWidth="1"/>
    <col min="14855" max="14855" width="3.44140625" style="15" customWidth="1"/>
    <col min="14856" max="14860" width="7.21875" style="15" customWidth="1"/>
    <col min="14861" max="14861" width="23.21875" style="15" customWidth="1"/>
    <col min="14862" max="14863" width="5.21875" style="15" customWidth="1"/>
    <col min="14864" max="14864" width="9.77734375" style="15" customWidth="1"/>
    <col min="14865" max="14865" width="8.44140625" style="15" customWidth="1"/>
    <col min="14866" max="14868" width="7.6640625" style="15" customWidth="1"/>
    <col min="14869" max="14869" width="14.21875" style="15" bestFit="1" customWidth="1"/>
    <col min="14870" max="14870" width="30.77734375" style="15" customWidth="1"/>
    <col min="14871" max="14887" width="5" style="15" customWidth="1"/>
    <col min="14888" max="14888" width="0" style="15" hidden="1" customWidth="1"/>
    <col min="14889" max="15104" width="8.6640625" style="15"/>
    <col min="15105" max="15105" width="7.6640625" style="15" customWidth="1"/>
    <col min="15106" max="15106" width="9.6640625" style="15" customWidth="1"/>
    <col min="15107" max="15107" width="3.77734375" style="15" customWidth="1"/>
    <col min="15108" max="15108" width="5.77734375" style="15" customWidth="1"/>
    <col min="15109" max="15109" width="5.21875" style="15" customWidth="1"/>
    <col min="15110" max="15110" width="3.21875" style="15" customWidth="1"/>
    <col min="15111" max="15111" width="3.44140625" style="15" customWidth="1"/>
    <col min="15112" max="15116" width="7.21875" style="15" customWidth="1"/>
    <col min="15117" max="15117" width="23.21875" style="15" customWidth="1"/>
    <col min="15118" max="15119" width="5.21875" style="15" customWidth="1"/>
    <col min="15120" max="15120" width="9.77734375" style="15" customWidth="1"/>
    <col min="15121" max="15121" width="8.44140625" style="15" customWidth="1"/>
    <col min="15122" max="15124" width="7.6640625" style="15" customWidth="1"/>
    <col min="15125" max="15125" width="14.21875" style="15" bestFit="1" customWidth="1"/>
    <col min="15126" max="15126" width="30.77734375" style="15" customWidth="1"/>
    <col min="15127" max="15143" width="5" style="15" customWidth="1"/>
    <col min="15144" max="15144" width="0" style="15" hidden="1" customWidth="1"/>
    <col min="15145" max="15360" width="8.6640625" style="15"/>
    <col min="15361" max="15361" width="7.6640625" style="15" customWidth="1"/>
    <col min="15362" max="15362" width="9.6640625" style="15" customWidth="1"/>
    <col min="15363" max="15363" width="3.77734375" style="15" customWidth="1"/>
    <col min="15364" max="15364" width="5.77734375" style="15" customWidth="1"/>
    <col min="15365" max="15365" width="5.21875" style="15" customWidth="1"/>
    <col min="15366" max="15366" width="3.21875" style="15" customWidth="1"/>
    <col min="15367" max="15367" width="3.44140625" style="15" customWidth="1"/>
    <col min="15368" max="15372" width="7.21875" style="15" customWidth="1"/>
    <col min="15373" max="15373" width="23.21875" style="15" customWidth="1"/>
    <col min="15374" max="15375" width="5.21875" style="15" customWidth="1"/>
    <col min="15376" max="15376" width="9.77734375" style="15" customWidth="1"/>
    <col min="15377" max="15377" width="8.44140625" style="15" customWidth="1"/>
    <col min="15378" max="15380" width="7.6640625" style="15" customWidth="1"/>
    <col min="15381" max="15381" width="14.21875" style="15" bestFit="1" customWidth="1"/>
    <col min="15382" max="15382" width="30.77734375" style="15" customWidth="1"/>
    <col min="15383" max="15399" width="5" style="15" customWidth="1"/>
    <col min="15400" max="15400" width="0" style="15" hidden="1" customWidth="1"/>
    <col min="15401" max="15616" width="8.6640625" style="15"/>
    <col min="15617" max="15617" width="7.6640625" style="15" customWidth="1"/>
    <col min="15618" max="15618" width="9.6640625" style="15" customWidth="1"/>
    <col min="15619" max="15619" width="3.77734375" style="15" customWidth="1"/>
    <col min="15620" max="15620" width="5.77734375" style="15" customWidth="1"/>
    <col min="15621" max="15621" width="5.21875" style="15" customWidth="1"/>
    <col min="15622" max="15622" width="3.21875" style="15" customWidth="1"/>
    <col min="15623" max="15623" width="3.44140625" style="15" customWidth="1"/>
    <col min="15624" max="15628" width="7.21875" style="15" customWidth="1"/>
    <col min="15629" max="15629" width="23.21875" style="15" customWidth="1"/>
    <col min="15630" max="15631" width="5.21875" style="15" customWidth="1"/>
    <col min="15632" max="15632" width="9.77734375" style="15" customWidth="1"/>
    <col min="15633" max="15633" width="8.44140625" style="15" customWidth="1"/>
    <col min="15634" max="15636" width="7.6640625" style="15" customWidth="1"/>
    <col min="15637" max="15637" width="14.21875" style="15" bestFit="1" customWidth="1"/>
    <col min="15638" max="15638" width="30.77734375" style="15" customWidth="1"/>
    <col min="15639" max="15655" width="5" style="15" customWidth="1"/>
    <col min="15656" max="15656" width="0" style="15" hidden="1" customWidth="1"/>
    <col min="15657" max="15872" width="8.6640625" style="15"/>
    <col min="15873" max="15873" width="7.6640625" style="15" customWidth="1"/>
    <col min="15874" max="15874" width="9.6640625" style="15" customWidth="1"/>
    <col min="15875" max="15875" width="3.77734375" style="15" customWidth="1"/>
    <col min="15876" max="15876" width="5.77734375" style="15" customWidth="1"/>
    <col min="15877" max="15877" width="5.21875" style="15" customWidth="1"/>
    <col min="15878" max="15878" width="3.21875" style="15" customWidth="1"/>
    <col min="15879" max="15879" width="3.44140625" style="15" customWidth="1"/>
    <col min="15880" max="15884" width="7.21875" style="15" customWidth="1"/>
    <col min="15885" max="15885" width="23.21875" style="15" customWidth="1"/>
    <col min="15886" max="15887" width="5.21875" style="15" customWidth="1"/>
    <col min="15888" max="15888" width="9.77734375" style="15" customWidth="1"/>
    <col min="15889" max="15889" width="8.44140625" style="15" customWidth="1"/>
    <col min="15890" max="15892" width="7.6640625" style="15" customWidth="1"/>
    <col min="15893" max="15893" width="14.21875" style="15" bestFit="1" customWidth="1"/>
    <col min="15894" max="15894" width="30.77734375" style="15" customWidth="1"/>
    <col min="15895" max="15911" width="5" style="15" customWidth="1"/>
    <col min="15912" max="15912" width="0" style="15" hidden="1" customWidth="1"/>
    <col min="15913" max="16128" width="8.6640625" style="15"/>
    <col min="16129" max="16129" width="7.6640625" style="15" customWidth="1"/>
    <col min="16130" max="16130" width="9.6640625" style="15" customWidth="1"/>
    <col min="16131" max="16131" width="3.77734375" style="15" customWidth="1"/>
    <col min="16132" max="16132" width="5.77734375" style="15" customWidth="1"/>
    <col min="16133" max="16133" width="5.21875" style="15" customWidth="1"/>
    <col min="16134" max="16134" width="3.21875" style="15" customWidth="1"/>
    <col min="16135" max="16135" width="3.44140625" style="15" customWidth="1"/>
    <col min="16136" max="16140" width="7.21875" style="15" customWidth="1"/>
    <col min="16141" max="16141" width="23.21875" style="15" customWidth="1"/>
    <col min="16142" max="16143" width="5.21875" style="15" customWidth="1"/>
    <col min="16144" max="16144" width="9.77734375" style="15" customWidth="1"/>
    <col min="16145" max="16145" width="8.44140625" style="15" customWidth="1"/>
    <col min="16146" max="16148" width="7.6640625" style="15" customWidth="1"/>
    <col min="16149" max="16149" width="14.21875" style="15" bestFit="1" customWidth="1"/>
    <col min="16150" max="16150" width="30.77734375" style="15" customWidth="1"/>
    <col min="16151" max="16167" width="5" style="15" customWidth="1"/>
    <col min="16168" max="16168" width="0" style="15" hidden="1" customWidth="1"/>
    <col min="16169" max="16384" width="8.6640625" style="15"/>
  </cols>
  <sheetData>
    <row r="1" spans="1:31" s="12" customFormat="1" ht="25.05" customHeight="1">
      <c r="A1" s="55" t="s">
        <v>32</v>
      </c>
      <c r="B1" s="55"/>
      <c r="C1" s="55"/>
      <c r="D1" s="130" t="s">
        <v>33</v>
      </c>
      <c r="E1" s="130"/>
      <c r="F1" s="130"/>
      <c r="G1" s="130"/>
      <c r="H1" s="130"/>
      <c r="I1" s="130"/>
      <c r="J1" s="130"/>
      <c r="K1" s="130"/>
      <c r="L1" s="130"/>
      <c r="M1" s="130" t="s">
        <v>34</v>
      </c>
      <c r="N1" s="130"/>
      <c r="O1" s="131" t="str">
        <f>+'TIME SHEET'!AH3</f>
        <v/>
      </c>
      <c r="P1" s="132"/>
      <c r="Q1" s="56"/>
      <c r="R1" s="55"/>
      <c r="S1" s="55" t="s">
        <v>59</v>
      </c>
      <c r="T1" s="78">
        <v>8</v>
      </c>
      <c r="U1"/>
      <c r="V1"/>
      <c r="W1"/>
      <c r="Y1"/>
      <c r="Z1"/>
      <c r="AA1"/>
      <c r="AB1"/>
      <c r="AC1"/>
      <c r="AD1"/>
      <c r="AE1"/>
    </row>
    <row r="2" spans="1:31" s="13" customFormat="1" ht="25.05" customHeight="1">
      <c r="A2" s="57" t="s">
        <v>35</v>
      </c>
      <c r="B2" s="133" t="str">
        <f>'TIME SHEET'!C3</f>
        <v>ธันวาคม</v>
      </c>
      <c r="C2" s="134"/>
      <c r="D2" s="58" t="s">
        <v>4</v>
      </c>
      <c r="E2" s="133">
        <f>'TIME SHEET'!F3</f>
        <v>2569</v>
      </c>
      <c r="F2" s="134"/>
      <c r="G2" s="57" t="s">
        <v>36</v>
      </c>
      <c r="H2" s="57"/>
      <c r="I2" s="135" t="str">
        <f>'TIME SHEET'!Z3</f>
        <v/>
      </c>
      <c r="J2" s="136"/>
      <c r="K2" s="136"/>
      <c r="L2" s="136"/>
      <c r="M2" s="137" t="s">
        <v>37</v>
      </c>
      <c r="N2" s="137"/>
      <c r="O2" s="138"/>
      <c r="P2" s="138"/>
      <c r="Q2" s="59"/>
      <c r="R2" s="57"/>
      <c r="S2" s="57" t="s">
        <v>60</v>
      </c>
      <c r="T2" s="79">
        <v>1</v>
      </c>
      <c r="U2"/>
      <c r="V2"/>
      <c r="W2"/>
      <c r="Y2"/>
      <c r="Z2"/>
      <c r="AA2"/>
      <c r="AB2"/>
      <c r="AC2"/>
      <c r="AD2"/>
      <c r="AE2"/>
    </row>
    <row r="3" spans="1:31" ht="25.05" customHeight="1">
      <c r="A3" s="139"/>
      <c r="B3" s="139"/>
      <c r="C3" s="139"/>
      <c r="D3" s="139"/>
      <c r="E3" s="139"/>
      <c r="F3" s="139"/>
      <c r="G3" s="139"/>
      <c r="H3" s="139"/>
      <c r="I3" s="139"/>
      <c r="J3" s="139"/>
      <c r="K3" s="139"/>
      <c r="L3" s="139"/>
      <c r="M3" s="139"/>
      <c r="N3" s="139"/>
      <c r="O3" s="139"/>
      <c r="P3" s="139"/>
      <c r="Q3" s="60"/>
      <c r="R3" s="80"/>
      <c r="S3" s="80" t="s">
        <v>61</v>
      </c>
      <c r="T3" s="81" t="s">
        <v>58</v>
      </c>
      <c r="U3"/>
      <c r="V3"/>
      <c r="W3"/>
      <c r="Y3"/>
      <c r="Z3"/>
      <c r="AA3"/>
      <c r="AB3"/>
      <c r="AC3"/>
      <c r="AD3"/>
      <c r="AE3"/>
    </row>
    <row r="4" spans="1:31" s="14" customFormat="1" ht="23.4">
      <c r="A4" s="140" t="s">
        <v>38</v>
      </c>
      <c r="B4" s="142" t="s">
        <v>39</v>
      </c>
      <c r="C4" s="143"/>
      <c r="D4" s="144"/>
      <c r="E4" s="145" t="s">
        <v>40</v>
      </c>
      <c r="F4" s="146"/>
      <c r="G4" s="147"/>
      <c r="H4" s="145" t="s">
        <v>41</v>
      </c>
      <c r="I4" s="146"/>
      <c r="J4" s="146"/>
      <c r="K4" s="146"/>
      <c r="L4" s="146"/>
      <c r="M4" s="147"/>
      <c r="N4" s="142" t="s">
        <v>42</v>
      </c>
      <c r="O4" s="143"/>
      <c r="P4" s="144"/>
      <c r="Q4" s="61"/>
      <c r="R4" s="80"/>
      <c r="S4" s="80"/>
      <c r="T4" s="80"/>
      <c r="U4"/>
      <c r="V4"/>
      <c r="W4"/>
      <c r="Y4"/>
      <c r="Z4"/>
      <c r="AA4"/>
      <c r="AB4"/>
      <c r="AC4"/>
      <c r="AD4"/>
      <c r="AE4"/>
    </row>
    <row r="5" spans="1:31" s="14" customFormat="1" ht="25.05" customHeight="1">
      <c r="A5" s="141"/>
      <c r="B5" s="62" t="s">
        <v>43</v>
      </c>
      <c r="C5" s="142" t="s">
        <v>44</v>
      </c>
      <c r="D5" s="144"/>
      <c r="E5" s="148"/>
      <c r="F5" s="149"/>
      <c r="G5" s="150"/>
      <c r="H5" s="148"/>
      <c r="I5" s="149"/>
      <c r="J5" s="149"/>
      <c r="K5" s="149"/>
      <c r="L5" s="149"/>
      <c r="M5" s="150"/>
      <c r="N5" s="142" t="s">
        <v>45</v>
      </c>
      <c r="O5" s="144"/>
      <c r="P5" s="63" t="s">
        <v>46</v>
      </c>
      <c r="Q5" s="56" t="s">
        <v>56</v>
      </c>
      <c r="R5" s="77"/>
      <c r="S5" s="77"/>
      <c r="T5" s="77"/>
      <c r="U5"/>
      <c r="V5"/>
      <c r="W5"/>
      <c r="Y5"/>
      <c r="Z5"/>
      <c r="AA5"/>
      <c r="AB5"/>
      <c r="AC5"/>
      <c r="AD5"/>
      <c r="AE5"/>
    </row>
    <row r="6" spans="1:31" ht="25.05" customHeight="1">
      <c r="A6" s="94" t="str" cm="1">
        <f t="array" ref="A6">IF(IFERROR(_xlfn.AGGREGATE(15,6,ROW('TIME REPORT'!$Q$6:$Q$98)/('TIME REPORT'!$Q$6:$Q$98=$T$3),ROW()-5),"")="","",INDEX('TIME REPORT'!$A:$A,IFERROR(_xlfn.AGGREGATE(15,6,ROW('TIME REPORT'!$Q$6:$Q$98)/('TIME REPORT'!$Q$6:$Q$98=$T$3),ROW()-5),"")))</f>
        <v/>
      </c>
      <c r="B6" s="98" t="str" cm="1">
        <f t="array" ref="B6">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REPORT'!$Q$6:$Q$98=$T$3),ROW()-5),"")),1)*100,0)+($T$1+$T$2)*60)),60)/100)</f>
        <v/>
      </c>
      <c r="C6" s="153" t="str" cm="1">
        <f t="array" ref="C6">IF(IFERROR(_xlfn.AGGREGATE(15,6,ROW('TIME REPORT'!$Q$6:$Q$98)/('TIME REPORT'!$Q$6:$Q$98=$T$3),ROW()-5),"")="","",INDEX('TIME REPORT'!$C:$C,IFERROR(_xlfn.AGGREGATE(15,6,ROW('TIME REPORT'!$Q$6:$Q$98)/('TIME REPORT'!$Q$6:$Q$98=$T$3),ROW()-5),"")))</f>
        <v/>
      </c>
      <c r="D6" s="120"/>
      <c r="E6" s="124" t="str" cm="1">
        <f t="array" ref="E6">IF(IFERROR(_xlfn.AGGREGATE(15,6,ROW('TIME REPORT'!$Q$6:$Q$98)/('TIME REPORT'!$Q$6:$Q$98=$T$3),ROW()-5),"")="","",INDEX('TIME REPORT'!$E:$E,IFERROR(_xlfn.AGGREGATE(15,6,ROW('TIME REPORT'!$Q$6:$Q$98)/('TIME REPORT'!$Q$6:$Q$98=$T$3),ROW()-5),"")))</f>
        <v/>
      </c>
      <c r="F6" s="122"/>
      <c r="G6" s="123"/>
      <c r="H6" s="99" t="str" cm="1">
        <f t="array" ref="H6">IF(IFERROR(_xlfn.AGGREGATE(15,6,ROW('TIME REPORT'!$Q$6:$Q$98)/('TIME REPORT'!$Q$6:$Q$98=$T$3),ROW()-5),"")="","",INDEX('TIME REPORT'!$H:$H,IFERROR(_xlfn.AGGREGATE(15,6,ROW('TIME REPORT'!$Q$6:$Q$98)/('TIME REPORT'!$Q$6:$Q$98=$T$3),ROW()-5),"")))</f>
        <v/>
      </c>
      <c r="I6" s="156" t="str" cm="1">
        <f t="array" ref="I6">IF(IFERROR(_xlfn.AGGREGATE(15,6,ROW('TIME REPORT'!$Q$6:$Q$98)/('TIME REPORT'!$Q$6:$Q$98=$T$3),ROW()-5),"")="","",INDEX('TIME REPORT'!$I:$I,IFERROR(_xlfn.AGGREGATE(15,6,ROW('TIME REPORT'!$Q$6:$Q$98)/('TIME REPORT'!$Q$6:$Q$98=$T$3),ROW()-5),"")))</f>
        <v/>
      </c>
      <c r="J6" s="157"/>
      <c r="K6" s="157"/>
      <c r="L6" s="157"/>
      <c r="M6" s="158"/>
      <c r="N6" s="117" t="str" cm="1">
        <f t="array" ref="N6">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O6" s="118"/>
      <c r="P6" s="95" t="str" cm="1">
        <f t="array" ref="P6">IF(IFERROR(_xlfn.AGGREGATE(15,6,ROW('TIME REPORT'!$Q$6:$Q$98)/('TIME REPORT'!$Q$6:$Q$98=$T$3),ROW()-5),"")="","",MOD(IF(IFERROR(_xlfn.AGGREGATE(15,6,ROW('TIME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Q6" s="100" t="str" cm="1">
        <f t="array" ref="Q6">IF(IFERROR(_xlfn.AGGREGATE(15,6,ROW('TIME REPORT'!$Q$6:$Q$98)/('TIME REPORT'!$Q$6:$Q$98=$T$3),ROW()-5),"")="","",$T$3)</f>
        <v/>
      </c>
      <c r="R6" s="77"/>
      <c r="S6" s="77"/>
      <c r="T6" s="77"/>
      <c r="U6"/>
      <c r="V6"/>
      <c r="W6"/>
      <c r="Y6"/>
      <c r="Z6"/>
      <c r="AA6"/>
      <c r="AB6"/>
      <c r="AC6"/>
      <c r="AD6"/>
      <c r="AE6"/>
    </row>
    <row r="7" spans="1:31" ht="25.05" customHeight="1">
      <c r="A7" s="94" t="str" cm="1">
        <f t="array" ref="A7">IF(IFERROR(_xlfn.AGGREGATE(15,6,ROW('TIME REPORT'!$Q$6:$Q$98)/('TIME REPORT'!$Q$6:$Q$98=$T$3),ROW()-5),"")="","",INDEX('TIME REPORT'!$A:$A,IFERROR(_xlfn.AGGREGATE(15,6,ROW('TIME REPORT'!$Q$6:$Q$98)/('TIME REPORT'!$Q$6:$Q$98=$T$3),ROW()-5),"")))</f>
        <v/>
      </c>
      <c r="B7" s="98" t="str" cm="1">
        <f t="array" ref="B7">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REPORT'!$Q$6:$Q$98=$T$3),ROW()-5),"")),1)*100,0)+($T$1+$T$2)*60)),60)/100)</f>
        <v/>
      </c>
      <c r="C7" s="153" t="str" cm="1">
        <f t="array" ref="C7">IF(IFERROR(_xlfn.AGGREGATE(15,6,ROW('TIME REPORT'!$Q$6:$Q$98)/('TIME REPORT'!$Q$6:$Q$98=$T$3),ROW()-5),"")="","",INDEX('TIME REPORT'!$C:$C,IFERROR(_xlfn.AGGREGATE(15,6,ROW('TIME REPORT'!$Q$6:$Q$98)/('TIME REPORT'!$Q$6:$Q$98=$T$3),ROW()-5),"")))</f>
        <v/>
      </c>
      <c r="D7" s="120"/>
      <c r="E7" s="124" t="str" cm="1">
        <f t="array" ref="E7">IF(IFERROR(_xlfn.AGGREGATE(15,6,ROW('TIME REPORT'!$Q$6:$Q$98)/('TIME REPORT'!$Q$6:$Q$98=$T$3),ROW()-5),"")="","",INDEX('TIME REPORT'!$E:$E,IFERROR(_xlfn.AGGREGATE(15,6,ROW('TIME REPORT'!$Q$6:$Q$98)/('TIME REPORT'!$Q$6:$Q$98=$T$3),ROW()-5),"")))</f>
        <v/>
      </c>
      <c r="F7" s="122"/>
      <c r="G7" s="123"/>
      <c r="H7" s="99" t="str" cm="1">
        <f t="array" ref="H7">IF(IFERROR(_xlfn.AGGREGATE(15,6,ROW('TIME REPORT'!$Q$6:$Q$98)/('TIME REPORT'!$Q$6:$Q$98=$T$3),ROW()-5),"")="","",INDEX('TIME REPORT'!$H:$H,IFERROR(_xlfn.AGGREGATE(15,6,ROW('TIME REPORT'!$Q$6:$Q$98)/('TIME REPORT'!$Q$6:$Q$98=$T$3),ROW()-5),"")))</f>
        <v/>
      </c>
      <c r="I7" s="154" t="str" cm="1">
        <f t="array" ref="I7">IF(IFERROR(_xlfn.AGGREGATE(15,6,ROW('TIME REPORT'!$Q$6:$Q$98)/('TIME REPORT'!$Q$6:$Q$98=$T$3),ROW()-5),"")="","",INDEX('TIME REPORT'!$I:$I,IFERROR(_xlfn.AGGREGATE(15,6,ROW('TIME REPORT'!$Q$6:$Q$98)/('TIME REPORT'!$Q$6:$Q$98=$T$3),ROW()-5),"")))</f>
        <v/>
      </c>
      <c r="J7" s="115"/>
      <c r="K7" s="115"/>
      <c r="L7" s="115"/>
      <c r="M7" s="116"/>
      <c r="N7" s="117" t="str" cm="1">
        <f t="array" ref="N7">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O7" s="118"/>
      <c r="P7" s="95" t="str" cm="1">
        <f t="array" ref="P7">IF(IFERROR(_xlfn.AGGREGATE(15,6,ROW('TIME REPORT'!$Q$6:$Q$98)/('TIME REPORT'!$Q$6:$Q$98=$T$3),ROW()-5),"")="","",MOD(IF(IFERROR(_xlfn.AGGREGATE(15,6,ROW('TIME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Q7" s="100" t="str" cm="1">
        <f t="array" ref="Q7">IF(IFERROR(_xlfn.AGGREGATE(15,6,ROW('TIME REPORT'!$Q$6:$Q$98)/('TIME REPORT'!$Q$6:$Q$98=$T$3),ROW()-5),"")="","",$T$3)</f>
        <v/>
      </c>
      <c r="R7" s="77"/>
      <c r="S7" s="77"/>
      <c r="T7" s="77"/>
      <c r="U7"/>
      <c r="V7"/>
      <c r="W7"/>
      <c r="Y7"/>
      <c r="Z7"/>
      <c r="AA7"/>
      <c r="AB7"/>
      <c r="AC7"/>
      <c r="AD7"/>
      <c r="AE7"/>
    </row>
    <row r="8" spans="1:31" ht="25.05" customHeight="1">
      <c r="A8" s="94" t="str" cm="1">
        <f t="array" ref="A8">IF(IFERROR(_xlfn.AGGREGATE(15,6,ROW('TIME REPORT'!$Q$6:$Q$98)/('TIME REPORT'!$Q$6:$Q$98=$T$3),ROW()-5),"")="","",INDEX('TIME REPORT'!$A:$A,IFERROR(_xlfn.AGGREGATE(15,6,ROW('TIME REPORT'!$Q$6:$Q$98)/('TIME REPORT'!$Q$6:$Q$98=$T$3),ROW()-5),"")))</f>
        <v/>
      </c>
      <c r="B8" s="98" t="str" cm="1">
        <f t="array" ref="B8">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REPORT'!$Q$6:$Q$98=$T$3),ROW()-5),"")),1)*100,0)+($T$1+$T$2)*60)),60)/100)</f>
        <v/>
      </c>
      <c r="C8" s="153" t="str" cm="1">
        <f t="array" ref="C8">IF(IFERROR(_xlfn.AGGREGATE(15,6,ROW('TIME REPORT'!$Q$6:$Q$98)/('TIME REPORT'!$Q$6:$Q$98=$T$3),ROW()-5),"")="","",INDEX('TIME REPORT'!$C:$C,IFERROR(_xlfn.AGGREGATE(15,6,ROW('TIME REPORT'!$Q$6:$Q$98)/('TIME REPORT'!$Q$6:$Q$98=$T$3),ROW()-5),"")))</f>
        <v/>
      </c>
      <c r="D8" s="120"/>
      <c r="E8" s="124" t="str" cm="1">
        <f t="array" ref="E8">IF(IFERROR(_xlfn.AGGREGATE(15,6,ROW('TIME REPORT'!$Q$6:$Q$98)/('TIME REPORT'!$Q$6:$Q$98=$T$3),ROW()-5),"")="","",INDEX('TIME REPORT'!$E:$E,IFERROR(_xlfn.AGGREGATE(15,6,ROW('TIME REPORT'!$Q$6:$Q$98)/('TIME REPORT'!$Q$6:$Q$98=$T$3),ROW()-5),"")))</f>
        <v/>
      </c>
      <c r="F8" s="122"/>
      <c r="G8" s="123"/>
      <c r="H8" s="99" t="str" cm="1">
        <f t="array" ref="H8">IF(IFERROR(_xlfn.AGGREGATE(15,6,ROW('TIME REPORT'!$Q$6:$Q$98)/('TIME REPORT'!$Q$6:$Q$98=$T$3),ROW()-5),"")="","",INDEX('TIME REPORT'!$H:$H,IFERROR(_xlfn.AGGREGATE(15,6,ROW('TIME REPORT'!$Q$6:$Q$98)/('TIME REPORT'!$Q$6:$Q$98=$T$3),ROW()-5),"")))</f>
        <v/>
      </c>
      <c r="I8" s="154" t="str" cm="1">
        <f t="array" ref="I8">IF(IFERROR(_xlfn.AGGREGATE(15,6,ROW('TIME REPORT'!$Q$6:$Q$98)/('TIME REPORT'!$Q$6:$Q$98=$T$3),ROW()-5),"")="","",INDEX('TIME REPORT'!$I:$I,IFERROR(_xlfn.AGGREGATE(15,6,ROW('TIME REPORT'!$Q$6:$Q$98)/('TIME REPORT'!$Q$6:$Q$98=$T$3),ROW()-5),"")))</f>
        <v/>
      </c>
      <c r="J8" s="115"/>
      <c r="K8" s="115"/>
      <c r="L8" s="115"/>
      <c r="M8" s="116"/>
      <c r="N8" s="117" t="str" cm="1">
        <f t="array" ref="N8">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O8" s="118"/>
      <c r="P8" s="95" t="str" cm="1">
        <f t="array" ref="P8">IF(IFERROR(_xlfn.AGGREGATE(15,6,ROW('TIME REPORT'!$Q$6:$Q$98)/('TIME REPORT'!$Q$6:$Q$98=$T$3),ROW()-5),"")="","",MOD(IF(IFERROR(_xlfn.AGGREGATE(15,6,ROW('TIME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Q8" s="101" t="str" cm="1">
        <f t="array" ref="Q8">IF(IFERROR(_xlfn.AGGREGATE(15,6,ROW('TIME REPORT'!$Q$6:$Q$98)/('TIME REPORT'!$Q$6:$Q$98=$T$3),ROW()-5),"")="","",$T$3)</f>
        <v/>
      </c>
      <c r="R8" s="77"/>
      <c r="S8" s="77"/>
      <c r="T8" s="77"/>
      <c r="U8"/>
      <c r="V8"/>
      <c r="W8"/>
      <c r="Y8"/>
      <c r="Z8"/>
      <c r="AA8"/>
      <c r="AB8"/>
      <c r="AC8"/>
      <c r="AD8"/>
      <c r="AE8"/>
    </row>
    <row r="9" spans="1:31" ht="25.05" customHeight="1">
      <c r="A9" s="94" t="str" cm="1">
        <f t="array" ref="A9">IF(IFERROR(_xlfn.AGGREGATE(15,6,ROW('TIME REPORT'!$Q$6:$Q$98)/('TIME REPORT'!$Q$6:$Q$98=$T$3),ROW()-5),"")="","",INDEX('TIME REPORT'!$A:$A,IFERROR(_xlfn.AGGREGATE(15,6,ROW('TIME REPORT'!$Q$6:$Q$98)/('TIME REPORT'!$Q$6:$Q$98=$T$3),ROW()-5),"")))</f>
        <v/>
      </c>
      <c r="B9" s="98" t="str" cm="1">
        <f t="array" ref="B9">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REPORT'!$Q$6:$Q$98=$T$3),ROW()-5),"")),1)*100,0)+($T$1+$T$2)*60)),60)/100)</f>
        <v/>
      </c>
      <c r="C9" s="153" t="str" cm="1">
        <f t="array" ref="C9">IF(IFERROR(_xlfn.AGGREGATE(15,6,ROW('TIME REPORT'!$Q$6:$Q$98)/('TIME REPORT'!$Q$6:$Q$98=$T$3),ROW()-5),"")="","",INDEX('TIME REPORT'!$C:$C,IFERROR(_xlfn.AGGREGATE(15,6,ROW('TIME REPORT'!$Q$6:$Q$98)/('TIME REPORT'!$Q$6:$Q$98=$T$3),ROW()-5),"")))</f>
        <v/>
      </c>
      <c r="D9" s="120"/>
      <c r="E9" s="124" t="str" cm="1">
        <f t="array" ref="E9">IF(IFERROR(_xlfn.AGGREGATE(15,6,ROW('TIME REPORT'!$Q$6:$Q$98)/('TIME REPORT'!$Q$6:$Q$98=$T$3),ROW()-5),"")="","",INDEX('TIME REPORT'!$E:$E,IFERROR(_xlfn.AGGREGATE(15,6,ROW('TIME REPORT'!$Q$6:$Q$98)/('TIME REPORT'!$Q$6:$Q$98=$T$3),ROW()-5),"")))</f>
        <v/>
      </c>
      <c r="F9" s="122"/>
      <c r="G9" s="123"/>
      <c r="H9" s="99" t="str" cm="1">
        <f t="array" ref="H9">IF(IFERROR(_xlfn.AGGREGATE(15,6,ROW('TIME REPORT'!$Q$6:$Q$98)/('TIME REPORT'!$Q$6:$Q$98=$T$3),ROW()-5),"")="","",INDEX('TIME REPORT'!$H:$H,IFERROR(_xlfn.AGGREGATE(15,6,ROW('TIME REPORT'!$Q$6:$Q$98)/('TIME REPORT'!$Q$6:$Q$98=$T$3),ROW()-5),"")))</f>
        <v/>
      </c>
      <c r="I9" s="154" t="str" cm="1">
        <f t="array" ref="I9">IF(IFERROR(_xlfn.AGGREGATE(15,6,ROW('TIME REPORT'!$Q$6:$Q$98)/('TIME REPORT'!$Q$6:$Q$98=$T$3),ROW()-5),"")="","",INDEX('TIME REPORT'!$I:$I,IFERROR(_xlfn.AGGREGATE(15,6,ROW('TIME REPORT'!$Q$6:$Q$98)/('TIME REPORT'!$Q$6:$Q$98=$T$3),ROW()-5),"")))</f>
        <v/>
      </c>
      <c r="J9" s="115"/>
      <c r="K9" s="115"/>
      <c r="L9" s="115"/>
      <c r="M9" s="116"/>
      <c r="N9" s="117" t="str" cm="1">
        <f t="array" ref="N9">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O9" s="118"/>
      <c r="P9" s="95" t="str" cm="1">
        <f t="array" ref="P9">IF(IFERROR(_xlfn.AGGREGATE(15,6,ROW('TIME REPORT'!$Q$6:$Q$98)/('TIME REPORT'!$Q$6:$Q$98=$T$3),ROW()-5),"")="","",MOD(IF(IFERROR(_xlfn.AGGREGATE(15,6,ROW('TIME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Q9" s="101" t="str" cm="1">
        <f t="array" ref="Q9">IF(IFERROR(_xlfn.AGGREGATE(15,6,ROW('TIME REPORT'!$Q$6:$Q$98)/('TIME REPORT'!$Q$6:$Q$98=$T$3),ROW()-5),"")="","",$T$3)</f>
        <v/>
      </c>
      <c r="R9" s="77"/>
      <c r="S9" s="77"/>
      <c r="T9" s="77"/>
      <c r="U9"/>
      <c r="V9"/>
      <c r="W9"/>
      <c r="Y9"/>
      <c r="Z9"/>
      <c r="AA9"/>
      <c r="AB9"/>
      <c r="AC9"/>
      <c r="AD9"/>
      <c r="AE9"/>
    </row>
    <row r="10" spans="1:31" ht="25.05" customHeight="1">
      <c r="A10" s="94" t="str" cm="1">
        <f t="array" ref="A10">IF(IFERROR(_xlfn.AGGREGATE(15,6,ROW('TIME REPORT'!$Q$6:$Q$98)/('TIME REPORT'!$Q$6:$Q$98=$T$3),ROW()-5),"")="","",INDEX('TIME REPORT'!$A:$A,IFERROR(_xlfn.AGGREGATE(15,6,ROW('TIME REPORT'!$Q$6:$Q$98)/('TIME REPORT'!$Q$6:$Q$98=$T$3),ROW()-5),"")))</f>
        <v/>
      </c>
      <c r="B10" s="98" t="str" cm="1">
        <f t="array" ref="B10">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REPORT'!$Q$6:$Q$98=$T$3),ROW()-5),"")),1)*100,0)+($T$1+$T$2)*60)),60)/100)</f>
        <v/>
      </c>
      <c r="C10" s="153" t="str" cm="1">
        <f t="array" ref="C10">IF(IFERROR(_xlfn.AGGREGATE(15,6,ROW('TIME REPORT'!$Q$6:$Q$98)/('TIME REPORT'!$Q$6:$Q$98=$T$3),ROW()-5),"")="","",INDEX('TIME REPORT'!$C:$C,IFERROR(_xlfn.AGGREGATE(15,6,ROW('TIME REPORT'!$Q$6:$Q$98)/('TIME REPORT'!$Q$6:$Q$98=$T$3),ROW()-5),"")))</f>
        <v/>
      </c>
      <c r="D10" s="120"/>
      <c r="E10" s="124" t="str" cm="1">
        <f t="array" ref="E10">IF(IFERROR(_xlfn.AGGREGATE(15,6,ROW('TIME REPORT'!$Q$6:$Q$98)/('TIME REPORT'!$Q$6:$Q$98=$T$3),ROW()-5),"")="","",INDEX('TIME REPORT'!$E:$E,IFERROR(_xlfn.AGGREGATE(15,6,ROW('TIME REPORT'!$Q$6:$Q$98)/('TIME REPORT'!$Q$6:$Q$98=$T$3),ROW()-5),"")))</f>
        <v/>
      </c>
      <c r="F10" s="122"/>
      <c r="G10" s="123"/>
      <c r="H10" s="99" t="str" cm="1">
        <f t="array" ref="H10">IF(IFERROR(_xlfn.AGGREGATE(15,6,ROW('TIME REPORT'!$Q$6:$Q$98)/('TIME REPORT'!$Q$6:$Q$98=$T$3),ROW()-5),"")="","",INDEX('TIME REPORT'!$H:$H,IFERROR(_xlfn.AGGREGATE(15,6,ROW('TIME REPORT'!$Q$6:$Q$98)/('TIME REPORT'!$Q$6:$Q$98=$T$3),ROW()-5),"")))</f>
        <v/>
      </c>
      <c r="I10" s="154" t="str" cm="1">
        <f t="array" ref="I10">IF(IFERROR(_xlfn.AGGREGATE(15,6,ROW('TIME REPORT'!$Q$6:$Q$98)/('TIME REPORT'!$Q$6:$Q$98=$T$3),ROW()-5),"")="","",INDEX('TIME REPORT'!$I:$I,IFERROR(_xlfn.AGGREGATE(15,6,ROW('TIME REPORT'!$Q$6:$Q$98)/('TIME REPORT'!$Q$6:$Q$98=$T$3),ROW()-5),"")))</f>
        <v/>
      </c>
      <c r="J10" s="115"/>
      <c r="K10" s="115"/>
      <c r="L10" s="115"/>
      <c r="M10" s="116"/>
      <c r="N10" s="117" t="str" cm="1">
        <f t="array" ref="N10">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O10" s="118"/>
      <c r="P10" s="95" t="str" cm="1">
        <f t="array" ref="P10">IF(IFERROR(_xlfn.AGGREGATE(15,6,ROW('TIME REPORT'!$Q$6:$Q$98)/('TIME REPORT'!$Q$6:$Q$98=$T$3),ROW()-5),"")="","",MOD(IF(IFERROR(_xlfn.AGGREGATE(15,6,ROW('TIME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Q10" s="101" t="str" cm="1">
        <f t="array" ref="Q10">IF(IFERROR(_xlfn.AGGREGATE(15,6,ROW('TIME REPORT'!$Q$6:$Q$98)/('TIME REPORT'!$Q$6:$Q$98=$T$3),ROW()-5),"")="","",$T$3)</f>
        <v/>
      </c>
      <c r="R10" s="77"/>
      <c r="S10" s="77"/>
      <c r="T10" s="77"/>
      <c r="U10"/>
      <c r="V10"/>
      <c r="W10"/>
      <c r="Y10"/>
      <c r="Z10"/>
      <c r="AA10"/>
      <c r="AB10"/>
      <c r="AC10"/>
      <c r="AD10"/>
      <c r="AE10"/>
    </row>
    <row r="11" spans="1:31" ht="25.05" customHeight="1">
      <c r="A11" s="94" t="str" cm="1">
        <f t="array" ref="A11">IF(IFERROR(_xlfn.AGGREGATE(15,6,ROW('TIME REPORT'!$Q$6:$Q$98)/('TIME REPORT'!$Q$6:$Q$98=$T$3),ROW()-5),"")="","",INDEX('TIME REPORT'!$A:$A,IFERROR(_xlfn.AGGREGATE(15,6,ROW('TIME REPORT'!$Q$6:$Q$98)/('TIME REPORT'!$Q$6:$Q$98=$T$3),ROW()-5),"")))</f>
        <v/>
      </c>
      <c r="B11" s="98" t="str" cm="1">
        <f t="array" ref="B11">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REPORT'!$Q$6:$Q$98=$T$3),ROW()-5),"")),1)*100,0)+($T$1+$T$2)*60)),60)/100)</f>
        <v/>
      </c>
      <c r="C11" s="153" t="str" cm="1">
        <f t="array" ref="C11">IF(IFERROR(_xlfn.AGGREGATE(15,6,ROW('TIME REPORT'!$Q$6:$Q$98)/('TIME REPORT'!$Q$6:$Q$98=$T$3),ROW()-5),"")="","",INDEX('TIME REPORT'!$C:$C,IFERROR(_xlfn.AGGREGATE(15,6,ROW('TIME REPORT'!$Q$6:$Q$98)/('TIME REPORT'!$Q$6:$Q$98=$T$3),ROW()-5),"")))</f>
        <v/>
      </c>
      <c r="D11" s="120"/>
      <c r="E11" s="124" t="str" cm="1">
        <f t="array" ref="E11">IF(IFERROR(_xlfn.AGGREGATE(15,6,ROW('TIME REPORT'!$Q$6:$Q$98)/('TIME REPORT'!$Q$6:$Q$98=$T$3),ROW()-5),"")="","",INDEX('TIME REPORT'!$E:$E,IFERROR(_xlfn.AGGREGATE(15,6,ROW('TIME REPORT'!$Q$6:$Q$98)/('TIME REPORT'!$Q$6:$Q$98=$T$3),ROW()-5),"")))</f>
        <v/>
      </c>
      <c r="F11" s="122"/>
      <c r="G11" s="123"/>
      <c r="H11" s="99" t="str" cm="1">
        <f t="array" ref="H11">IF(IFERROR(_xlfn.AGGREGATE(15,6,ROW('TIME REPORT'!$Q$6:$Q$98)/('TIME REPORT'!$Q$6:$Q$98=$T$3),ROW()-5),"")="","",INDEX('TIME REPORT'!$H:$H,IFERROR(_xlfn.AGGREGATE(15,6,ROW('TIME REPORT'!$Q$6:$Q$98)/('TIME REPORT'!$Q$6:$Q$98=$T$3),ROW()-5),"")))</f>
        <v/>
      </c>
      <c r="I11" s="154" t="str" cm="1">
        <f t="array" ref="I11">IF(IFERROR(_xlfn.AGGREGATE(15,6,ROW('TIME REPORT'!$Q$6:$Q$98)/('TIME REPORT'!$Q$6:$Q$98=$T$3),ROW()-5),"")="","",INDEX('TIME REPORT'!$I:$I,IFERROR(_xlfn.AGGREGATE(15,6,ROW('TIME REPORT'!$Q$6:$Q$98)/('TIME REPORT'!$Q$6:$Q$98=$T$3),ROW()-5),"")))</f>
        <v/>
      </c>
      <c r="J11" s="115"/>
      <c r="K11" s="115"/>
      <c r="L11" s="115"/>
      <c r="M11" s="116"/>
      <c r="N11" s="117" t="str" cm="1">
        <f t="array" ref="N11">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O11" s="118"/>
      <c r="P11" s="95" t="str" cm="1">
        <f t="array" ref="P11">IF(IFERROR(_xlfn.AGGREGATE(15,6,ROW('TIME REPORT'!$Q$6:$Q$98)/('TIME REPORT'!$Q$6:$Q$98=$T$3),ROW()-5),"")="","",MOD(IF(IFERROR(_xlfn.AGGREGATE(15,6,ROW('TIME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Q11" s="101" t="str" cm="1">
        <f t="array" ref="Q11">IF(IFERROR(_xlfn.AGGREGATE(15,6,ROW('TIME REPORT'!$Q$6:$Q$98)/('TIME REPORT'!$Q$6:$Q$98=$T$3),ROW()-5),"")="","",$T$3)</f>
        <v/>
      </c>
      <c r="R11" s="77"/>
      <c r="S11" s="77"/>
      <c r="T11" s="77"/>
      <c r="U11"/>
      <c r="V11"/>
      <c r="W11"/>
      <c r="Y11"/>
      <c r="Z11"/>
      <c r="AA11"/>
      <c r="AB11"/>
      <c r="AC11"/>
      <c r="AD11"/>
      <c r="AE11"/>
    </row>
    <row r="12" spans="1:31" ht="25.05" customHeight="1">
      <c r="A12" s="94" t="str" cm="1">
        <f t="array" ref="A12">IF(IFERROR(_xlfn.AGGREGATE(15,6,ROW('TIME REPORT'!$Q$6:$Q$98)/('TIME REPORT'!$Q$6:$Q$98=$T$3),ROW()-5),"")="","",INDEX('TIME REPORT'!$A:$A,IFERROR(_xlfn.AGGREGATE(15,6,ROW('TIME REPORT'!$Q$6:$Q$98)/('TIME REPORT'!$Q$6:$Q$98=$T$3),ROW()-5),"")))</f>
        <v/>
      </c>
      <c r="B12" s="98" t="str" cm="1">
        <f t="array" ref="B12">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REPORT'!$Q$6:$Q$98=$T$3),ROW()-5),"")),1)*100,0)+($T$1+$T$2)*60)),60)/100)</f>
        <v/>
      </c>
      <c r="C12" s="153" t="str" cm="1">
        <f t="array" ref="C12">IF(IFERROR(_xlfn.AGGREGATE(15,6,ROW('TIME REPORT'!$Q$6:$Q$98)/('TIME REPORT'!$Q$6:$Q$98=$T$3),ROW()-5),"")="","",INDEX('TIME REPORT'!$C:$C,IFERROR(_xlfn.AGGREGATE(15,6,ROW('TIME REPORT'!$Q$6:$Q$98)/('TIME REPORT'!$Q$6:$Q$98=$T$3),ROW()-5),"")))</f>
        <v/>
      </c>
      <c r="D12" s="120"/>
      <c r="E12" s="124" t="str" cm="1">
        <f t="array" ref="E12">IF(IFERROR(_xlfn.AGGREGATE(15,6,ROW('TIME REPORT'!$Q$6:$Q$98)/('TIME REPORT'!$Q$6:$Q$98=$T$3),ROW()-5),"")="","",INDEX('TIME REPORT'!$E:$E,IFERROR(_xlfn.AGGREGATE(15,6,ROW('TIME REPORT'!$Q$6:$Q$98)/('TIME REPORT'!$Q$6:$Q$98=$T$3),ROW()-5),"")))</f>
        <v/>
      </c>
      <c r="F12" s="122"/>
      <c r="G12" s="123"/>
      <c r="H12" s="99" t="str" cm="1">
        <f t="array" ref="H12">IF(IFERROR(_xlfn.AGGREGATE(15,6,ROW('TIME REPORT'!$Q$6:$Q$98)/('TIME REPORT'!$Q$6:$Q$98=$T$3),ROW()-5),"")="","",INDEX('TIME REPORT'!$H:$H,IFERROR(_xlfn.AGGREGATE(15,6,ROW('TIME REPORT'!$Q$6:$Q$98)/('TIME REPORT'!$Q$6:$Q$98=$T$3),ROW()-5),"")))</f>
        <v/>
      </c>
      <c r="I12" s="154" t="str" cm="1">
        <f t="array" ref="I12">IF(IFERROR(_xlfn.AGGREGATE(15,6,ROW('TIME REPORT'!$Q$6:$Q$98)/('TIME REPORT'!$Q$6:$Q$98=$T$3),ROW()-5),"")="","",INDEX('TIME REPORT'!$I:$I,IFERROR(_xlfn.AGGREGATE(15,6,ROW('TIME REPORT'!$Q$6:$Q$98)/('TIME REPORT'!$Q$6:$Q$98=$T$3),ROW()-5),"")))</f>
        <v/>
      </c>
      <c r="J12" s="115"/>
      <c r="K12" s="115"/>
      <c r="L12" s="115"/>
      <c r="M12" s="116"/>
      <c r="N12" s="117" t="str" cm="1">
        <f t="array" ref="N12">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O12" s="118"/>
      <c r="P12" s="95" t="str" cm="1">
        <f t="array" ref="P12">IF(IFERROR(_xlfn.AGGREGATE(15,6,ROW('TIME REPORT'!$Q$6:$Q$98)/('TIME REPORT'!$Q$6:$Q$98=$T$3),ROW()-5),"")="","",MOD(IF(IFERROR(_xlfn.AGGREGATE(15,6,ROW('TIME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Q12" s="101" t="str" cm="1">
        <f t="array" ref="Q12">IF(IFERROR(_xlfn.AGGREGATE(15,6,ROW('TIME REPORT'!$Q$6:$Q$98)/('TIME REPORT'!$Q$6:$Q$98=$T$3),ROW()-5),"")="","",$T$3)</f>
        <v/>
      </c>
      <c r="R12" s="77"/>
      <c r="S12" s="77"/>
      <c r="T12" s="77"/>
      <c r="U12"/>
      <c r="V12"/>
      <c r="W12"/>
      <c r="Y12"/>
      <c r="Z12"/>
      <c r="AA12"/>
      <c r="AB12"/>
      <c r="AC12"/>
      <c r="AD12"/>
      <c r="AE12"/>
    </row>
    <row r="13" spans="1:31" ht="25.05" customHeight="1">
      <c r="A13" s="94" t="str" cm="1">
        <f t="array" ref="A13">IF(IFERROR(_xlfn.AGGREGATE(15,6,ROW('TIME REPORT'!$Q$6:$Q$98)/('TIME REPORT'!$Q$6:$Q$98=$T$3),ROW()-5),"")="","",INDEX('TIME REPORT'!$A:$A,IFERROR(_xlfn.AGGREGATE(15,6,ROW('TIME REPORT'!$Q$6:$Q$98)/('TIME REPORT'!$Q$6:$Q$98=$T$3),ROW()-5),"")))</f>
        <v/>
      </c>
      <c r="B13" s="98" t="str" cm="1">
        <f t="array" ref="B13">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REPORT'!$Q$6:$Q$98=$T$3),ROW()-5),"")),1)*100,0)+($T$1+$T$2)*60)),60)/100)</f>
        <v/>
      </c>
      <c r="C13" s="153" t="str" cm="1">
        <f t="array" ref="C13">IF(IFERROR(_xlfn.AGGREGATE(15,6,ROW('TIME REPORT'!$Q$6:$Q$98)/('TIME REPORT'!$Q$6:$Q$98=$T$3),ROW()-5),"")="","",INDEX('TIME REPORT'!$C:$C,IFERROR(_xlfn.AGGREGATE(15,6,ROW('TIME REPORT'!$Q$6:$Q$98)/('TIME REPORT'!$Q$6:$Q$98=$T$3),ROW()-5),"")))</f>
        <v/>
      </c>
      <c r="D13" s="120"/>
      <c r="E13" s="124" t="str" cm="1">
        <f t="array" ref="E13">IF(IFERROR(_xlfn.AGGREGATE(15,6,ROW('TIME REPORT'!$Q$6:$Q$98)/('TIME REPORT'!$Q$6:$Q$98=$T$3),ROW()-5),"")="","",INDEX('TIME REPORT'!$E:$E,IFERROR(_xlfn.AGGREGATE(15,6,ROW('TIME REPORT'!$Q$6:$Q$98)/('TIME REPORT'!$Q$6:$Q$98=$T$3),ROW()-5),"")))</f>
        <v/>
      </c>
      <c r="F13" s="122"/>
      <c r="G13" s="123"/>
      <c r="H13" s="99" t="str" cm="1">
        <f t="array" ref="H13">IF(IFERROR(_xlfn.AGGREGATE(15,6,ROW('TIME REPORT'!$Q$6:$Q$98)/('TIME REPORT'!$Q$6:$Q$98=$T$3),ROW()-5),"")="","",INDEX('TIME REPORT'!$H:$H,IFERROR(_xlfn.AGGREGATE(15,6,ROW('TIME REPORT'!$Q$6:$Q$98)/('TIME REPORT'!$Q$6:$Q$98=$T$3),ROW()-5),"")))</f>
        <v/>
      </c>
      <c r="I13" s="154" t="str" cm="1">
        <f t="array" ref="I13">IF(IFERROR(_xlfn.AGGREGATE(15,6,ROW('TIME REPORT'!$Q$6:$Q$98)/('TIME REPORT'!$Q$6:$Q$98=$T$3),ROW()-5),"")="","",INDEX('TIME REPORT'!$I:$I,IFERROR(_xlfn.AGGREGATE(15,6,ROW('TIME REPORT'!$Q$6:$Q$98)/('TIME REPORT'!$Q$6:$Q$98=$T$3),ROW()-5),"")))</f>
        <v/>
      </c>
      <c r="J13" s="115"/>
      <c r="K13" s="115"/>
      <c r="L13" s="115"/>
      <c r="M13" s="116"/>
      <c r="N13" s="117" t="str" cm="1">
        <f t="array" ref="N13">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O13" s="118"/>
      <c r="P13" s="95" t="str" cm="1">
        <f t="array" ref="P13">IF(IFERROR(_xlfn.AGGREGATE(15,6,ROW('TIME REPORT'!$Q$6:$Q$98)/('TIME REPORT'!$Q$6:$Q$98=$T$3),ROW()-5),"")="","",MOD(IF(IFERROR(_xlfn.AGGREGATE(15,6,ROW('TIME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Q13" s="101" t="str" cm="1">
        <f t="array" ref="Q13">IF(IFERROR(_xlfn.AGGREGATE(15,6,ROW('TIME REPORT'!$Q$6:$Q$98)/('TIME REPORT'!$Q$6:$Q$98=$T$3),ROW()-5),"")="","",$T$3)</f>
        <v/>
      </c>
      <c r="R13" s="77"/>
      <c r="S13" s="77"/>
      <c r="T13" s="77"/>
      <c r="U13"/>
      <c r="V13"/>
      <c r="W13"/>
      <c r="Y13"/>
      <c r="Z13"/>
      <c r="AA13"/>
      <c r="AB13"/>
      <c r="AC13"/>
      <c r="AD13"/>
      <c r="AE13"/>
    </row>
    <row r="14" spans="1:31" ht="25.05" customHeight="1">
      <c r="A14" s="94" t="str" cm="1">
        <f t="array" ref="A14">IF(IFERROR(_xlfn.AGGREGATE(15,6,ROW('TIME REPORT'!$Q$6:$Q$98)/('TIME REPORT'!$Q$6:$Q$98=$T$3),ROW()-5),"")="","",INDEX('TIME REPORT'!$A:$A,IFERROR(_xlfn.AGGREGATE(15,6,ROW('TIME REPORT'!$Q$6:$Q$98)/('TIME REPORT'!$Q$6:$Q$98=$T$3),ROW()-5),"")))</f>
        <v/>
      </c>
      <c r="B14" s="98" t="str" cm="1">
        <f t="array" ref="B14">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REPORT'!$Q$6:$Q$98=$T$3),ROW()-5),"")),1)*100,0)+($T$1+$T$2)*60)),60)/100)</f>
        <v/>
      </c>
      <c r="C14" s="153" t="str" cm="1">
        <f t="array" ref="C14">IF(IFERROR(_xlfn.AGGREGATE(15,6,ROW('TIME REPORT'!$Q$6:$Q$98)/('TIME REPORT'!$Q$6:$Q$98=$T$3),ROW()-5),"")="","",INDEX('TIME REPORT'!$C:$C,IFERROR(_xlfn.AGGREGATE(15,6,ROW('TIME REPORT'!$Q$6:$Q$98)/('TIME REPORT'!$Q$6:$Q$98=$T$3),ROW()-5),"")))</f>
        <v/>
      </c>
      <c r="D14" s="120"/>
      <c r="E14" s="124" t="str" cm="1">
        <f t="array" ref="E14">IF(IFERROR(_xlfn.AGGREGATE(15,6,ROW('TIME REPORT'!$Q$6:$Q$98)/('TIME REPORT'!$Q$6:$Q$98=$T$3),ROW()-5),"")="","",INDEX('TIME REPORT'!$E:$E,IFERROR(_xlfn.AGGREGATE(15,6,ROW('TIME REPORT'!$Q$6:$Q$98)/('TIME REPORT'!$Q$6:$Q$98=$T$3),ROW()-5),"")))</f>
        <v/>
      </c>
      <c r="F14" s="122"/>
      <c r="G14" s="123"/>
      <c r="H14" s="99" t="str" cm="1">
        <f t="array" ref="H14">IF(IFERROR(_xlfn.AGGREGATE(15,6,ROW('TIME REPORT'!$Q$6:$Q$98)/('TIME REPORT'!$Q$6:$Q$98=$T$3),ROW()-5),"")="","",INDEX('TIME REPORT'!$H:$H,IFERROR(_xlfn.AGGREGATE(15,6,ROW('TIME REPORT'!$Q$6:$Q$98)/('TIME REPORT'!$Q$6:$Q$98=$T$3),ROW()-5),"")))</f>
        <v/>
      </c>
      <c r="I14" s="154" t="str" cm="1">
        <f t="array" ref="I14">IF(IFERROR(_xlfn.AGGREGATE(15,6,ROW('TIME REPORT'!$Q$6:$Q$98)/('TIME REPORT'!$Q$6:$Q$98=$T$3),ROW()-5),"")="","",INDEX('TIME REPORT'!$I:$I,IFERROR(_xlfn.AGGREGATE(15,6,ROW('TIME REPORT'!$Q$6:$Q$98)/('TIME REPORT'!$Q$6:$Q$98=$T$3),ROW()-5),"")))</f>
        <v/>
      </c>
      <c r="J14" s="115"/>
      <c r="K14" s="115"/>
      <c r="L14" s="115"/>
      <c r="M14" s="116"/>
      <c r="N14" s="117" t="str" cm="1">
        <f t="array" ref="N14">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O14" s="118"/>
      <c r="P14" s="95" t="str" cm="1">
        <f t="array" ref="P14">IF(IFERROR(_xlfn.AGGREGATE(15,6,ROW('TIME REPORT'!$Q$6:$Q$98)/('TIME REPORT'!$Q$6:$Q$98=$T$3),ROW()-5),"")="","",MOD(IF(IFERROR(_xlfn.AGGREGATE(15,6,ROW('TIME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Q14" s="101" t="str" cm="1">
        <f t="array" ref="Q14">IF(IFERROR(_xlfn.AGGREGATE(15,6,ROW('TIME REPORT'!$Q$6:$Q$98)/('TIME REPORT'!$Q$6:$Q$98=$T$3),ROW()-5),"")="","",$T$3)</f>
        <v/>
      </c>
      <c r="R14" s="77"/>
      <c r="S14" s="77"/>
      <c r="T14" s="77"/>
      <c r="U14"/>
      <c r="V14"/>
      <c r="W14"/>
      <c r="Y14"/>
      <c r="Z14"/>
      <c r="AA14"/>
      <c r="AB14"/>
      <c r="AC14"/>
      <c r="AD14"/>
      <c r="AE14"/>
    </row>
    <row r="15" spans="1:31" ht="25.05" customHeight="1">
      <c r="A15" s="94" t="str" cm="1">
        <f t="array" ref="A15">IF(IFERROR(_xlfn.AGGREGATE(15,6,ROW('TIME REPORT'!$Q$6:$Q$98)/('TIME REPORT'!$Q$6:$Q$98=$T$3),ROW()-5),"")="","",INDEX('TIME REPORT'!$A:$A,IFERROR(_xlfn.AGGREGATE(15,6,ROW('TIME REPORT'!$Q$6:$Q$98)/('TIME REPORT'!$Q$6:$Q$98=$T$3),ROW()-5),"")))</f>
        <v/>
      </c>
      <c r="B15" s="98" t="str" cm="1">
        <f t="array" ref="B15">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REPORT'!$Q$6:$Q$98=$T$3),ROW()-5),"")),1)*100,0)+($T$1+$T$2)*60)),60)/100)</f>
        <v/>
      </c>
      <c r="C15" s="153" t="str" cm="1">
        <f t="array" ref="C15">IF(IFERROR(_xlfn.AGGREGATE(15,6,ROW('TIME REPORT'!$Q$6:$Q$98)/('TIME REPORT'!$Q$6:$Q$98=$T$3),ROW()-5),"")="","",INDEX('TIME REPORT'!$C:$C,IFERROR(_xlfn.AGGREGATE(15,6,ROW('TIME REPORT'!$Q$6:$Q$98)/('TIME REPORT'!$Q$6:$Q$98=$T$3),ROW()-5),"")))</f>
        <v/>
      </c>
      <c r="D15" s="120"/>
      <c r="E15" s="124" t="str" cm="1">
        <f t="array" ref="E15">IF(IFERROR(_xlfn.AGGREGATE(15,6,ROW('TIME REPORT'!$Q$6:$Q$98)/('TIME REPORT'!$Q$6:$Q$98=$T$3),ROW()-5),"")="","",INDEX('TIME REPORT'!$E:$E,IFERROR(_xlfn.AGGREGATE(15,6,ROW('TIME REPORT'!$Q$6:$Q$98)/('TIME REPORT'!$Q$6:$Q$98=$T$3),ROW()-5),"")))</f>
        <v/>
      </c>
      <c r="F15" s="122"/>
      <c r="G15" s="123"/>
      <c r="H15" s="99" t="str" cm="1">
        <f t="array" ref="H15">IF(IFERROR(_xlfn.AGGREGATE(15,6,ROW('TIME REPORT'!$Q$6:$Q$98)/('TIME REPORT'!$Q$6:$Q$98=$T$3),ROW()-5),"")="","",INDEX('TIME REPORT'!$H:$H,IFERROR(_xlfn.AGGREGATE(15,6,ROW('TIME REPORT'!$Q$6:$Q$98)/('TIME REPORT'!$Q$6:$Q$98=$T$3),ROW()-5),"")))</f>
        <v/>
      </c>
      <c r="I15" s="154" t="str" cm="1">
        <f t="array" ref="I15">IF(IFERROR(_xlfn.AGGREGATE(15,6,ROW('TIME REPORT'!$Q$6:$Q$98)/('TIME REPORT'!$Q$6:$Q$98=$T$3),ROW()-5),"")="","",INDEX('TIME REPORT'!$I:$I,IFERROR(_xlfn.AGGREGATE(15,6,ROW('TIME REPORT'!$Q$6:$Q$98)/('TIME REPORT'!$Q$6:$Q$98=$T$3),ROW()-5),"")))</f>
        <v/>
      </c>
      <c r="J15" s="115"/>
      <c r="K15" s="115"/>
      <c r="L15" s="115"/>
      <c r="M15" s="116"/>
      <c r="N15" s="117" t="str" cm="1">
        <f t="array" ref="N15">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O15" s="118"/>
      <c r="P15" s="95" t="str" cm="1">
        <f t="array" ref="P15">IF(IFERROR(_xlfn.AGGREGATE(15,6,ROW('TIME REPORT'!$Q$6:$Q$98)/('TIME REPORT'!$Q$6:$Q$98=$T$3),ROW()-5),"")="","",MOD(IF(IFERROR(_xlfn.AGGREGATE(15,6,ROW('TIME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Q15" s="101" t="str" cm="1">
        <f t="array" ref="Q15">IF(IFERROR(_xlfn.AGGREGATE(15,6,ROW('TIME REPORT'!$Q$6:$Q$98)/('TIME REPORT'!$Q$6:$Q$98=$T$3),ROW()-5),"")="","",$T$3)</f>
        <v/>
      </c>
      <c r="R15" s="77"/>
      <c r="S15" s="77"/>
      <c r="T15" s="77"/>
      <c r="U15"/>
      <c r="V15"/>
      <c r="W15"/>
      <c r="Y15"/>
      <c r="Z15"/>
      <c r="AA15"/>
      <c r="AB15"/>
      <c r="AC15"/>
      <c r="AD15"/>
      <c r="AE15"/>
    </row>
    <row r="16" spans="1:31" s="16" customFormat="1" ht="25.05" customHeight="1">
      <c r="A16" s="94" t="str" cm="1">
        <f t="array" ref="A16">IF(IFERROR(_xlfn.AGGREGATE(15,6,ROW('TIME REPORT'!$Q$6:$Q$98)/('TIME REPORT'!$Q$6:$Q$98=$T$3),ROW()-5),"")="","",INDEX('TIME REPORT'!$A:$A,IFERROR(_xlfn.AGGREGATE(15,6,ROW('TIME REPORT'!$Q$6:$Q$98)/('TIME REPORT'!$Q$6:$Q$98=$T$3),ROW()-5),"")))</f>
        <v/>
      </c>
      <c r="B16" s="98" t="str" cm="1">
        <f t="array" ref="B16">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REPORT'!$Q$6:$Q$98=$T$3),ROW()-5),"")),1)*100,0)+($T$1+$T$2)*60)),60)/100)</f>
        <v/>
      </c>
      <c r="C16" s="153" t="str" cm="1">
        <f t="array" ref="C16">IF(IFERROR(_xlfn.AGGREGATE(15,6,ROW('TIME REPORT'!$Q$6:$Q$98)/('TIME REPORT'!$Q$6:$Q$98=$T$3),ROW()-5),"")="","",INDEX('TIME REPORT'!$C:$C,IFERROR(_xlfn.AGGREGATE(15,6,ROW('TIME REPORT'!$Q$6:$Q$98)/('TIME REPORT'!$Q$6:$Q$98=$T$3),ROW()-5),"")))</f>
        <v/>
      </c>
      <c r="D16" s="120"/>
      <c r="E16" s="124" t="str" cm="1">
        <f t="array" ref="E16">IF(IFERROR(_xlfn.AGGREGATE(15,6,ROW('TIME REPORT'!$Q$6:$Q$98)/('TIME REPORT'!$Q$6:$Q$98=$T$3),ROW()-5),"")="","",INDEX('TIME REPORT'!$E:$E,IFERROR(_xlfn.AGGREGATE(15,6,ROW('TIME REPORT'!$Q$6:$Q$98)/('TIME REPORT'!$Q$6:$Q$98=$T$3),ROW()-5),"")))</f>
        <v/>
      </c>
      <c r="F16" s="122"/>
      <c r="G16" s="123"/>
      <c r="H16" s="99" t="str" cm="1">
        <f t="array" ref="H16">IF(IFERROR(_xlfn.AGGREGATE(15,6,ROW('TIME REPORT'!$Q$6:$Q$98)/('TIME REPORT'!$Q$6:$Q$98=$T$3),ROW()-5),"")="","",INDEX('TIME REPORT'!$H:$H,IFERROR(_xlfn.AGGREGATE(15,6,ROW('TIME REPORT'!$Q$6:$Q$98)/('TIME REPORT'!$Q$6:$Q$98=$T$3),ROW()-5),"")))</f>
        <v/>
      </c>
      <c r="I16" s="154" t="str" cm="1">
        <f t="array" ref="I16">IF(IFERROR(_xlfn.AGGREGATE(15,6,ROW('TIME REPORT'!$Q$6:$Q$98)/('TIME REPORT'!$Q$6:$Q$98=$T$3),ROW()-5),"")="","",INDEX('TIME REPORT'!$I:$I,IFERROR(_xlfn.AGGREGATE(15,6,ROW('TIME REPORT'!$Q$6:$Q$98)/('TIME REPORT'!$Q$6:$Q$98=$T$3),ROW()-5),"")))</f>
        <v/>
      </c>
      <c r="J16" s="115"/>
      <c r="K16" s="115"/>
      <c r="L16" s="115"/>
      <c r="M16" s="116"/>
      <c r="N16" s="117" t="str" cm="1">
        <f t="array" ref="N16">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O16" s="118"/>
      <c r="P16" s="95" t="str" cm="1">
        <f t="array" ref="P16">IF(IFERROR(_xlfn.AGGREGATE(15,6,ROW('TIME REPORT'!$Q$6:$Q$98)/('TIME REPORT'!$Q$6:$Q$98=$T$3),ROW()-5),"")="","",MOD(IF(IFERROR(_xlfn.AGGREGATE(15,6,ROW('TIME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Q16" s="101" t="str" cm="1">
        <f t="array" ref="Q16">IF(IFERROR(_xlfn.AGGREGATE(15,6,ROW('TIME REPORT'!$Q$6:$Q$98)/('TIME REPORT'!$Q$6:$Q$98=$T$3),ROW()-5),"")="","",$T$3)</f>
        <v/>
      </c>
      <c r="R16" s="82"/>
      <c r="S16" s="82"/>
      <c r="T16" s="82"/>
      <c r="U16"/>
      <c r="V16"/>
      <c r="W16"/>
      <c r="Y16"/>
      <c r="Z16"/>
      <c r="AA16"/>
      <c r="AB16"/>
      <c r="AC16"/>
      <c r="AD16"/>
      <c r="AE16"/>
    </row>
    <row r="17" spans="1:31" ht="25.05" customHeight="1">
      <c r="A17" s="94" t="str" cm="1">
        <f t="array" ref="A17">IF(IFERROR(_xlfn.AGGREGATE(15,6,ROW('TIME REPORT'!$Q$6:$Q$98)/('TIME REPORT'!$Q$6:$Q$98=$T$3),ROW()-5),"")="","",INDEX('TIME REPORT'!$A:$A,IFERROR(_xlfn.AGGREGATE(15,6,ROW('TIME REPORT'!$Q$6:$Q$98)/('TIME REPORT'!$Q$6:$Q$98=$T$3),ROW()-5),"")))</f>
        <v/>
      </c>
      <c r="B17" s="98" t="str" cm="1">
        <f t="array" ref="B17">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REPORT'!$Q$6:$Q$98=$T$3),ROW()-5),"")),1)*100,0)+($T$1+$T$2)*60)),60)/100)</f>
        <v/>
      </c>
      <c r="C17" s="153" t="str" cm="1">
        <f t="array" ref="C17">IF(IFERROR(_xlfn.AGGREGATE(15,6,ROW('TIME REPORT'!$Q$6:$Q$98)/('TIME REPORT'!$Q$6:$Q$98=$T$3),ROW()-5),"")="","",INDEX('TIME REPORT'!$C:$C,IFERROR(_xlfn.AGGREGATE(15,6,ROW('TIME REPORT'!$Q$6:$Q$98)/('TIME REPORT'!$Q$6:$Q$98=$T$3),ROW()-5),"")))</f>
        <v/>
      </c>
      <c r="D17" s="120"/>
      <c r="E17" s="124" t="str" cm="1">
        <f t="array" ref="E17">IF(IFERROR(_xlfn.AGGREGATE(15,6,ROW('TIME REPORT'!$Q$6:$Q$98)/('TIME REPORT'!$Q$6:$Q$98=$T$3),ROW()-5),"")="","",INDEX('TIME REPORT'!$E:$E,IFERROR(_xlfn.AGGREGATE(15,6,ROW('TIME REPORT'!$Q$6:$Q$98)/('TIME REPORT'!$Q$6:$Q$98=$T$3),ROW()-5),"")))</f>
        <v/>
      </c>
      <c r="F17" s="122"/>
      <c r="G17" s="123"/>
      <c r="H17" s="99" t="str" cm="1">
        <f t="array" ref="H17">IF(IFERROR(_xlfn.AGGREGATE(15,6,ROW('TIME REPORT'!$Q$6:$Q$98)/('TIME REPORT'!$Q$6:$Q$98=$T$3),ROW()-5),"")="","",INDEX('TIME REPORT'!$H:$H,IFERROR(_xlfn.AGGREGATE(15,6,ROW('TIME REPORT'!$Q$6:$Q$98)/('TIME REPORT'!$Q$6:$Q$98=$T$3),ROW()-5),"")))</f>
        <v/>
      </c>
      <c r="I17" s="154" t="str" cm="1">
        <f t="array" ref="I17">IF(IFERROR(_xlfn.AGGREGATE(15,6,ROW('TIME REPORT'!$Q$6:$Q$98)/('TIME REPORT'!$Q$6:$Q$98=$T$3),ROW()-5),"")="","",INDEX('TIME REPORT'!$I:$I,IFERROR(_xlfn.AGGREGATE(15,6,ROW('TIME REPORT'!$Q$6:$Q$98)/('TIME REPORT'!$Q$6:$Q$98=$T$3),ROW()-5),"")))</f>
        <v/>
      </c>
      <c r="J17" s="115"/>
      <c r="K17" s="115"/>
      <c r="L17" s="115"/>
      <c r="M17" s="116"/>
      <c r="N17" s="117" t="str" cm="1">
        <f t="array" ref="N17">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O17" s="118"/>
      <c r="P17" s="95" t="str" cm="1">
        <f t="array" ref="P17">IF(IFERROR(_xlfn.AGGREGATE(15,6,ROW('TIME REPORT'!$Q$6:$Q$98)/('TIME REPORT'!$Q$6:$Q$98=$T$3),ROW()-5),"")="","",MOD(IF(IFERROR(_xlfn.AGGREGATE(15,6,ROW('TIME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Q17" s="101" t="str" cm="1">
        <f t="array" ref="Q17">IF(IFERROR(_xlfn.AGGREGATE(15,6,ROW('TIME REPORT'!$Q$6:$Q$98)/('TIME REPORT'!$Q$6:$Q$98=$T$3),ROW()-5),"")="","",$T$3)</f>
        <v/>
      </c>
      <c r="R17" s="77"/>
      <c r="S17" s="77"/>
      <c r="T17" s="77"/>
      <c r="U17"/>
      <c r="V17"/>
      <c r="W17"/>
      <c r="Y17"/>
      <c r="Z17"/>
      <c r="AA17"/>
      <c r="AB17"/>
      <c r="AC17"/>
      <c r="AD17"/>
      <c r="AE17"/>
    </row>
    <row r="18" spans="1:31" ht="25.05" customHeight="1">
      <c r="A18" s="94" t="str" cm="1">
        <f t="array" ref="A18">IF(IFERROR(_xlfn.AGGREGATE(15,6,ROW('TIME REPORT'!$Q$6:$Q$98)/('TIME REPORT'!$Q$6:$Q$98=$T$3),ROW()-5),"")="","",INDEX('TIME REPORT'!$A:$A,IFERROR(_xlfn.AGGREGATE(15,6,ROW('TIME REPORT'!$Q$6:$Q$98)/('TIME REPORT'!$Q$6:$Q$98=$T$3),ROW()-5),"")))</f>
        <v/>
      </c>
      <c r="B18" s="98" t="str" cm="1">
        <f t="array" ref="B18">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REPORT'!$Q$6:$Q$98=$T$3),ROW()-5),"")),1)*100,0)+($T$1+$T$2)*60)),60)/100)</f>
        <v/>
      </c>
      <c r="C18" s="153" t="str" cm="1">
        <f t="array" ref="C18">IF(IFERROR(_xlfn.AGGREGATE(15,6,ROW('TIME REPORT'!$Q$6:$Q$98)/('TIME REPORT'!$Q$6:$Q$98=$T$3),ROW()-5),"")="","",INDEX('TIME REPORT'!$C:$C,IFERROR(_xlfn.AGGREGATE(15,6,ROW('TIME REPORT'!$Q$6:$Q$98)/('TIME REPORT'!$Q$6:$Q$98=$T$3),ROW()-5),"")))</f>
        <v/>
      </c>
      <c r="D18" s="120"/>
      <c r="E18" s="124" t="str" cm="1">
        <f t="array" ref="E18">IF(IFERROR(_xlfn.AGGREGATE(15,6,ROW('TIME REPORT'!$Q$6:$Q$98)/('TIME REPORT'!$Q$6:$Q$98=$T$3),ROW()-5),"")="","",INDEX('TIME REPORT'!$E:$E,IFERROR(_xlfn.AGGREGATE(15,6,ROW('TIME REPORT'!$Q$6:$Q$98)/('TIME REPORT'!$Q$6:$Q$98=$T$3),ROW()-5),"")))</f>
        <v/>
      </c>
      <c r="F18" s="122"/>
      <c r="G18" s="123"/>
      <c r="H18" s="99" t="str" cm="1">
        <f t="array" ref="H18">IF(IFERROR(_xlfn.AGGREGATE(15,6,ROW('TIME REPORT'!$Q$6:$Q$98)/('TIME REPORT'!$Q$6:$Q$98=$T$3),ROW()-5),"")="","",INDEX('TIME REPORT'!$H:$H,IFERROR(_xlfn.AGGREGATE(15,6,ROW('TIME REPORT'!$Q$6:$Q$98)/('TIME REPORT'!$Q$6:$Q$98=$T$3),ROW()-5),"")))</f>
        <v/>
      </c>
      <c r="I18" s="154" t="str" cm="1">
        <f t="array" ref="I18">IF(IFERROR(_xlfn.AGGREGATE(15,6,ROW('TIME REPORT'!$Q$6:$Q$98)/('TIME REPORT'!$Q$6:$Q$98=$T$3),ROW()-5),"")="","",INDEX('TIME REPORT'!$I:$I,IFERROR(_xlfn.AGGREGATE(15,6,ROW('TIME REPORT'!$Q$6:$Q$98)/('TIME REPORT'!$Q$6:$Q$98=$T$3),ROW()-5),"")))</f>
        <v/>
      </c>
      <c r="J18" s="115"/>
      <c r="K18" s="115"/>
      <c r="L18" s="115"/>
      <c r="M18" s="116"/>
      <c r="N18" s="117" t="str" cm="1">
        <f t="array" ref="N18">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O18" s="118"/>
      <c r="P18" s="95" t="str" cm="1">
        <f t="array" ref="P18">IF(IFERROR(_xlfn.AGGREGATE(15,6,ROW('TIME REPORT'!$Q$6:$Q$98)/('TIME REPORT'!$Q$6:$Q$98=$T$3),ROW()-5),"")="","",MOD(IF(IFERROR(_xlfn.AGGREGATE(15,6,ROW('TIME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Q18" s="101" t="str" cm="1">
        <f t="array" ref="Q18">IF(IFERROR(_xlfn.AGGREGATE(15,6,ROW('TIME REPORT'!$Q$6:$Q$98)/('TIME REPORT'!$Q$6:$Q$98=$T$3),ROW()-5),"")="","",$T$3)</f>
        <v/>
      </c>
      <c r="R18" s="77"/>
      <c r="S18" s="77"/>
      <c r="T18" s="77"/>
      <c r="U18"/>
      <c r="V18"/>
      <c r="W18"/>
      <c r="Y18"/>
      <c r="Z18"/>
      <c r="AA18"/>
      <c r="AB18"/>
      <c r="AC18"/>
      <c r="AD18"/>
      <c r="AE18"/>
    </row>
    <row r="19" spans="1:31" ht="25.05" customHeight="1">
      <c r="A19" s="94" t="str" cm="1">
        <f t="array" ref="A19">IF(IFERROR(_xlfn.AGGREGATE(15,6,ROW('TIME REPORT'!$Q$6:$Q$98)/('TIME REPORT'!$Q$6:$Q$98=$T$3),ROW()-5),"")="","",INDEX('TIME REPORT'!$A:$A,IFERROR(_xlfn.AGGREGATE(15,6,ROW('TIME REPORT'!$Q$6:$Q$98)/('TIME REPORT'!$Q$6:$Q$98=$T$3),ROW()-5),"")))</f>
        <v/>
      </c>
      <c r="B19" s="98" t="str" cm="1">
        <f t="array" ref="B19">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REPORT'!$Q$6:$Q$98=$T$3),ROW()-5),"")),1)*100,0)+($T$1+$T$2)*60)),60)/100)</f>
        <v/>
      </c>
      <c r="C19" s="153" t="str" cm="1">
        <f t="array" ref="C19">IF(IFERROR(_xlfn.AGGREGATE(15,6,ROW('TIME REPORT'!$Q$6:$Q$98)/('TIME REPORT'!$Q$6:$Q$98=$T$3),ROW()-5),"")="","",INDEX('TIME REPORT'!$C:$C,IFERROR(_xlfn.AGGREGATE(15,6,ROW('TIME REPORT'!$Q$6:$Q$98)/('TIME REPORT'!$Q$6:$Q$98=$T$3),ROW()-5),"")))</f>
        <v/>
      </c>
      <c r="D19" s="120"/>
      <c r="E19" s="124" t="str" cm="1">
        <f t="array" ref="E19">IF(IFERROR(_xlfn.AGGREGATE(15,6,ROW('TIME REPORT'!$Q$6:$Q$98)/('TIME REPORT'!$Q$6:$Q$98=$T$3),ROW()-5),"")="","",INDEX('TIME REPORT'!$E:$E,IFERROR(_xlfn.AGGREGATE(15,6,ROW('TIME REPORT'!$Q$6:$Q$98)/('TIME REPORT'!$Q$6:$Q$98=$T$3),ROW()-5),"")))</f>
        <v/>
      </c>
      <c r="F19" s="122"/>
      <c r="G19" s="123"/>
      <c r="H19" s="99" t="str" cm="1">
        <f t="array" ref="H19">IF(IFERROR(_xlfn.AGGREGATE(15,6,ROW('TIME REPORT'!$Q$6:$Q$98)/('TIME REPORT'!$Q$6:$Q$98=$T$3),ROW()-5),"")="","",INDEX('TIME REPORT'!$H:$H,IFERROR(_xlfn.AGGREGATE(15,6,ROW('TIME REPORT'!$Q$6:$Q$98)/('TIME REPORT'!$Q$6:$Q$98=$T$3),ROW()-5),"")))</f>
        <v/>
      </c>
      <c r="I19" s="154" t="str" cm="1">
        <f t="array" ref="I19">IF(IFERROR(_xlfn.AGGREGATE(15,6,ROW('TIME REPORT'!$Q$6:$Q$98)/('TIME REPORT'!$Q$6:$Q$98=$T$3),ROW()-5),"")="","",INDEX('TIME REPORT'!$I:$I,IFERROR(_xlfn.AGGREGATE(15,6,ROW('TIME REPORT'!$Q$6:$Q$98)/('TIME REPORT'!$Q$6:$Q$98=$T$3),ROW()-5),"")))</f>
        <v/>
      </c>
      <c r="J19" s="115"/>
      <c r="K19" s="115"/>
      <c r="L19" s="115"/>
      <c r="M19" s="116"/>
      <c r="N19" s="117" t="str" cm="1">
        <f t="array" ref="N19">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O19" s="118"/>
      <c r="P19" s="95" t="str" cm="1">
        <f t="array" ref="P19">IF(IFERROR(_xlfn.AGGREGATE(15,6,ROW('TIME REPORT'!$Q$6:$Q$98)/('TIME REPORT'!$Q$6:$Q$98=$T$3),ROW()-5),"")="","",MOD(IF(IFERROR(_xlfn.AGGREGATE(15,6,ROW('TIME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Q19" s="101" t="str" cm="1">
        <f t="array" ref="Q19">IF(IFERROR(_xlfn.AGGREGATE(15,6,ROW('TIME REPORT'!$Q$6:$Q$98)/('TIME REPORT'!$Q$6:$Q$98=$T$3),ROW()-5),"")="","",$T$3)</f>
        <v/>
      </c>
      <c r="R19" s="77"/>
      <c r="S19" s="77"/>
      <c r="T19" s="77"/>
      <c r="U19"/>
      <c r="V19"/>
      <c r="W19"/>
      <c r="Y19"/>
      <c r="Z19"/>
      <c r="AA19"/>
      <c r="AB19"/>
      <c r="AC19"/>
      <c r="AD19"/>
      <c r="AE19"/>
    </row>
    <row r="20" spans="1:31" ht="25.05" customHeight="1">
      <c r="A20" s="94" t="str" cm="1">
        <f t="array" ref="A20">IF(IFERROR(_xlfn.AGGREGATE(15,6,ROW('TIME REPORT'!$Q$6:$Q$98)/('TIME REPORT'!$Q$6:$Q$98=$T$3),ROW()-5),"")="","",INDEX('TIME REPORT'!$A:$A,IFERROR(_xlfn.AGGREGATE(15,6,ROW('TIME REPORT'!$Q$6:$Q$98)/('TIME REPORT'!$Q$6:$Q$98=$T$3),ROW()-5),"")))</f>
        <v/>
      </c>
      <c r="B20" s="98" t="str" cm="1">
        <f t="array" ref="B20">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REPORT'!$Q$6:$Q$98=$T$3),ROW()-5),"")),1)*100,0)+($T$1+$T$2)*60)),60)/100)</f>
        <v/>
      </c>
      <c r="C20" s="153" t="str" cm="1">
        <f t="array" ref="C20">IF(IFERROR(_xlfn.AGGREGATE(15,6,ROW('TIME REPORT'!$Q$6:$Q$98)/('TIME REPORT'!$Q$6:$Q$98=$T$3),ROW()-5),"")="","",INDEX('TIME REPORT'!$C:$C,IFERROR(_xlfn.AGGREGATE(15,6,ROW('TIME REPORT'!$Q$6:$Q$98)/('TIME REPORT'!$Q$6:$Q$98=$T$3),ROW()-5),"")))</f>
        <v/>
      </c>
      <c r="D20" s="120"/>
      <c r="E20" s="124" t="str" cm="1">
        <f t="array" ref="E20">IF(IFERROR(_xlfn.AGGREGATE(15,6,ROW('TIME REPORT'!$Q$6:$Q$98)/('TIME REPORT'!$Q$6:$Q$98=$T$3),ROW()-5),"")="","",INDEX('TIME REPORT'!$E:$E,IFERROR(_xlfn.AGGREGATE(15,6,ROW('TIME REPORT'!$Q$6:$Q$98)/('TIME REPORT'!$Q$6:$Q$98=$T$3),ROW()-5),"")))</f>
        <v/>
      </c>
      <c r="F20" s="122"/>
      <c r="G20" s="123"/>
      <c r="H20" s="99" t="str" cm="1">
        <f t="array" ref="H20">IF(IFERROR(_xlfn.AGGREGATE(15,6,ROW('TIME REPORT'!$Q$6:$Q$98)/('TIME REPORT'!$Q$6:$Q$98=$T$3),ROW()-5),"")="","",INDEX('TIME REPORT'!$H:$H,IFERROR(_xlfn.AGGREGATE(15,6,ROW('TIME REPORT'!$Q$6:$Q$98)/('TIME REPORT'!$Q$6:$Q$98=$T$3),ROW()-5),"")))</f>
        <v/>
      </c>
      <c r="I20" s="154" t="str" cm="1">
        <f t="array" ref="I20">IF(IFERROR(_xlfn.AGGREGATE(15,6,ROW('TIME REPORT'!$Q$6:$Q$98)/('TIME REPORT'!$Q$6:$Q$98=$T$3),ROW()-5),"")="","",INDEX('TIME REPORT'!$I:$I,IFERROR(_xlfn.AGGREGATE(15,6,ROW('TIME REPORT'!$Q$6:$Q$98)/('TIME REPORT'!$Q$6:$Q$98=$T$3),ROW()-5),"")))</f>
        <v/>
      </c>
      <c r="J20" s="115"/>
      <c r="K20" s="115"/>
      <c r="L20" s="115"/>
      <c r="M20" s="116"/>
      <c r="N20" s="117" t="str" cm="1">
        <f t="array" ref="N20">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O20" s="118"/>
      <c r="P20" s="95" t="str" cm="1">
        <f t="array" ref="P20">IF(IFERROR(_xlfn.AGGREGATE(15,6,ROW('TIME REPORT'!$Q$6:$Q$98)/('TIME REPORT'!$Q$6:$Q$98=$T$3),ROW()-5),"")="","",MOD(IF(IFERROR(_xlfn.AGGREGATE(15,6,ROW('TIME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Q20" s="101" t="str" cm="1">
        <f t="array" ref="Q20">IF(IFERROR(_xlfn.AGGREGATE(15,6,ROW('TIME REPORT'!$Q$6:$Q$98)/('TIME REPORT'!$Q$6:$Q$98=$T$3),ROW()-5),"")="","",$T$3)</f>
        <v/>
      </c>
      <c r="R20" s="77"/>
      <c r="S20" s="77"/>
      <c r="T20" s="77"/>
      <c r="U20"/>
      <c r="V20"/>
      <c r="W20"/>
      <c r="Y20"/>
      <c r="Z20"/>
      <c r="AA20"/>
      <c r="AB20"/>
      <c r="AC20"/>
      <c r="AD20"/>
      <c r="AE20"/>
    </row>
    <row r="21" spans="1:31" ht="25.05" customHeight="1">
      <c r="A21" s="94" t="str" cm="1">
        <f t="array" ref="A21">IF(IFERROR(_xlfn.AGGREGATE(15,6,ROW('TIME REPORT'!$Q$6:$Q$98)/('TIME REPORT'!$Q$6:$Q$98=$T$3),ROW()-5),"")="","",INDEX('TIME REPORT'!$A:$A,IFERROR(_xlfn.AGGREGATE(15,6,ROW('TIME REPORT'!$Q$6:$Q$98)/('TIME REPORT'!$Q$6:$Q$98=$T$3),ROW()-5),"")))</f>
        <v/>
      </c>
      <c r="B21" s="98" t="str" cm="1">
        <f t="array" ref="B21">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REPORT'!$Q$6:$Q$98=$T$3),ROW()-5),"")),1)*100,0)+($T$1+$T$2)*60)),60)/100)</f>
        <v/>
      </c>
      <c r="C21" s="153" t="str" cm="1">
        <f t="array" ref="C21">IF(IFERROR(_xlfn.AGGREGATE(15,6,ROW('TIME REPORT'!$Q$6:$Q$98)/('TIME REPORT'!$Q$6:$Q$98=$T$3),ROW()-5),"")="","",INDEX('TIME REPORT'!$C:$C,IFERROR(_xlfn.AGGREGATE(15,6,ROW('TIME REPORT'!$Q$6:$Q$98)/('TIME REPORT'!$Q$6:$Q$98=$T$3),ROW()-5),"")))</f>
        <v/>
      </c>
      <c r="D21" s="120"/>
      <c r="E21" s="124" t="str" cm="1">
        <f t="array" ref="E21">IF(IFERROR(_xlfn.AGGREGATE(15,6,ROW('TIME REPORT'!$Q$6:$Q$98)/('TIME REPORT'!$Q$6:$Q$98=$T$3),ROW()-5),"")="","",INDEX('TIME REPORT'!$E:$E,IFERROR(_xlfn.AGGREGATE(15,6,ROW('TIME REPORT'!$Q$6:$Q$98)/('TIME REPORT'!$Q$6:$Q$98=$T$3),ROW()-5),"")))</f>
        <v/>
      </c>
      <c r="F21" s="122"/>
      <c r="G21" s="123"/>
      <c r="H21" s="99" t="str" cm="1">
        <f t="array" ref="H21">IF(IFERROR(_xlfn.AGGREGATE(15,6,ROW('TIME REPORT'!$Q$6:$Q$98)/('TIME REPORT'!$Q$6:$Q$98=$T$3),ROW()-5),"")="","",INDEX('TIME REPORT'!$H:$H,IFERROR(_xlfn.AGGREGATE(15,6,ROW('TIME REPORT'!$Q$6:$Q$98)/('TIME REPORT'!$Q$6:$Q$98=$T$3),ROW()-5),"")))</f>
        <v/>
      </c>
      <c r="I21" s="154" t="str" cm="1">
        <f t="array" ref="I21">IF(IFERROR(_xlfn.AGGREGATE(15,6,ROW('TIME REPORT'!$Q$6:$Q$98)/('TIME REPORT'!$Q$6:$Q$98=$T$3),ROW()-5),"")="","",INDEX('TIME REPORT'!$I:$I,IFERROR(_xlfn.AGGREGATE(15,6,ROW('TIME REPORT'!$Q$6:$Q$98)/('TIME REPORT'!$Q$6:$Q$98=$T$3),ROW()-5),"")))</f>
        <v/>
      </c>
      <c r="J21" s="115"/>
      <c r="K21" s="115"/>
      <c r="L21" s="115"/>
      <c r="M21" s="116"/>
      <c r="N21" s="117" t="str" cm="1">
        <f t="array" ref="N21">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O21" s="118"/>
      <c r="P21" s="95" t="str" cm="1">
        <f t="array" ref="P21">IF(IFERROR(_xlfn.AGGREGATE(15,6,ROW('TIME REPORT'!$Q$6:$Q$98)/('TIME REPORT'!$Q$6:$Q$98=$T$3),ROW()-5),"")="","",MOD(IF(IFERROR(_xlfn.AGGREGATE(15,6,ROW('TIME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Q21" s="101" t="str" cm="1">
        <f t="array" ref="Q21">IF(IFERROR(_xlfn.AGGREGATE(15,6,ROW('TIME REPORT'!$Q$6:$Q$98)/('TIME REPORT'!$Q$6:$Q$98=$T$3),ROW()-5),"")="","",$T$3)</f>
        <v/>
      </c>
      <c r="R21" s="77"/>
      <c r="S21" s="77"/>
      <c r="T21" s="77"/>
      <c r="U21"/>
      <c r="V21"/>
      <c r="W21"/>
      <c r="Y21"/>
      <c r="Z21"/>
      <c r="AA21"/>
      <c r="AB21"/>
      <c r="AC21"/>
      <c r="AD21"/>
      <c r="AE21"/>
    </row>
    <row r="22" spans="1:31" ht="25.05" customHeight="1">
      <c r="A22" s="94" t="str" cm="1">
        <f t="array" ref="A22">IF(IFERROR(_xlfn.AGGREGATE(15,6,ROW('TIME REPORT'!$Q$6:$Q$98)/('TIME REPORT'!$Q$6:$Q$98=$T$3),ROW()-5),"")="","",INDEX('TIME REPORT'!$A:$A,IFERROR(_xlfn.AGGREGATE(15,6,ROW('TIME REPORT'!$Q$6:$Q$98)/('TIME REPORT'!$Q$6:$Q$98=$T$3),ROW()-5),"")))</f>
        <v/>
      </c>
      <c r="B22" s="98" t="str" cm="1">
        <f t="array" ref="B22">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REPORT'!$Q$6:$Q$98=$T$3),ROW()-5),"")),1)*100,0)+($T$1+$T$2)*60)),60)/100)</f>
        <v/>
      </c>
      <c r="C22" s="153" t="str" cm="1">
        <f t="array" ref="C22">IF(IFERROR(_xlfn.AGGREGATE(15,6,ROW('TIME REPORT'!$Q$6:$Q$98)/('TIME REPORT'!$Q$6:$Q$98=$T$3),ROW()-5),"")="","",INDEX('TIME REPORT'!$C:$C,IFERROR(_xlfn.AGGREGATE(15,6,ROW('TIME REPORT'!$Q$6:$Q$98)/('TIME REPORT'!$Q$6:$Q$98=$T$3),ROW()-5),"")))</f>
        <v/>
      </c>
      <c r="D22" s="120"/>
      <c r="E22" s="124" t="str" cm="1">
        <f t="array" ref="E22">IF(IFERROR(_xlfn.AGGREGATE(15,6,ROW('TIME REPORT'!$Q$6:$Q$98)/('TIME REPORT'!$Q$6:$Q$98=$T$3),ROW()-5),"")="","",INDEX('TIME REPORT'!$E:$E,IFERROR(_xlfn.AGGREGATE(15,6,ROW('TIME REPORT'!$Q$6:$Q$98)/('TIME REPORT'!$Q$6:$Q$98=$T$3),ROW()-5),"")))</f>
        <v/>
      </c>
      <c r="F22" s="122"/>
      <c r="G22" s="123"/>
      <c r="H22" s="99" t="str" cm="1">
        <f t="array" ref="H22">IF(IFERROR(_xlfn.AGGREGATE(15,6,ROW('TIME REPORT'!$Q$6:$Q$98)/('TIME REPORT'!$Q$6:$Q$98=$T$3),ROW()-5),"")="","",INDEX('TIME REPORT'!$H:$H,IFERROR(_xlfn.AGGREGATE(15,6,ROW('TIME REPORT'!$Q$6:$Q$98)/('TIME REPORT'!$Q$6:$Q$98=$T$3),ROW()-5),"")))</f>
        <v/>
      </c>
      <c r="I22" s="154" t="str" cm="1">
        <f t="array" ref="I22">IF(IFERROR(_xlfn.AGGREGATE(15,6,ROW('TIME REPORT'!$Q$6:$Q$98)/('TIME REPORT'!$Q$6:$Q$98=$T$3),ROW()-5),"")="","",INDEX('TIME REPORT'!$I:$I,IFERROR(_xlfn.AGGREGATE(15,6,ROW('TIME REPORT'!$Q$6:$Q$98)/('TIME REPORT'!$Q$6:$Q$98=$T$3),ROW()-5),"")))</f>
        <v/>
      </c>
      <c r="J22" s="115"/>
      <c r="K22" s="115"/>
      <c r="L22" s="115"/>
      <c r="M22" s="116"/>
      <c r="N22" s="117" t="str" cm="1">
        <f t="array" ref="N22">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O22" s="118"/>
      <c r="P22" s="95" t="str" cm="1">
        <f t="array" ref="P22">IF(IFERROR(_xlfn.AGGREGATE(15,6,ROW('TIME REPORT'!$Q$6:$Q$98)/('TIME REPORT'!$Q$6:$Q$98=$T$3),ROW()-5),"")="","",MOD(IF(IFERROR(_xlfn.AGGREGATE(15,6,ROW('TIME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Q22" s="101" t="str" cm="1">
        <f t="array" ref="Q22">IF(IFERROR(_xlfn.AGGREGATE(15,6,ROW('TIME REPORT'!$Q$6:$Q$98)/('TIME REPORT'!$Q$6:$Q$98=$T$3),ROW()-5),"")="","",$T$3)</f>
        <v/>
      </c>
      <c r="R22" s="77"/>
      <c r="S22" s="77"/>
      <c r="T22" s="77"/>
      <c r="U22"/>
      <c r="V22"/>
      <c r="W22"/>
      <c r="Y22"/>
      <c r="Z22"/>
      <c r="AA22"/>
      <c r="AB22"/>
      <c r="AC22"/>
      <c r="AD22"/>
      <c r="AE22"/>
    </row>
    <row r="23" spans="1:31" ht="25.05" customHeight="1">
      <c r="A23" s="94" t="str" cm="1">
        <f t="array" ref="A23">IF(IFERROR(_xlfn.AGGREGATE(15,6,ROW('TIME REPORT'!$Q$6:$Q$98)/('TIME REPORT'!$Q$6:$Q$98=$T$3),ROW()-5),"")="","",INDEX('TIME REPORT'!$A:$A,IFERROR(_xlfn.AGGREGATE(15,6,ROW('TIME REPORT'!$Q$6:$Q$98)/('TIME REPORT'!$Q$6:$Q$98=$T$3),ROW()-5),"")))</f>
        <v/>
      </c>
      <c r="B23" s="98" t="str" cm="1">
        <f t="array" ref="B23">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REPORT'!$Q$6:$Q$98=$T$3),ROW()-5),"")),1)*100,0)+($T$1+$T$2)*60)),60)/100)</f>
        <v/>
      </c>
      <c r="C23" s="153" t="str" cm="1">
        <f t="array" ref="C23">IF(IFERROR(_xlfn.AGGREGATE(15,6,ROW('TIME REPORT'!$Q$6:$Q$98)/('TIME REPORT'!$Q$6:$Q$98=$T$3),ROW()-5),"")="","",INDEX('TIME REPORT'!$C:$C,IFERROR(_xlfn.AGGREGATE(15,6,ROW('TIME REPORT'!$Q$6:$Q$98)/('TIME REPORT'!$Q$6:$Q$98=$T$3),ROW()-5),"")))</f>
        <v/>
      </c>
      <c r="D23" s="120"/>
      <c r="E23" s="124" t="str" cm="1">
        <f t="array" ref="E23">IF(IFERROR(_xlfn.AGGREGATE(15,6,ROW('TIME REPORT'!$Q$6:$Q$98)/('TIME REPORT'!$Q$6:$Q$98=$T$3),ROW()-5),"")="","",INDEX('TIME REPORT'!$E:$E,IFERROR(_xlfn.AGGREGATE(15,6,ROW('TIME REPORT'!$Q$6:$Q$98)/('TIME REPORT'!$Q$6:$Q$98=$T$3),ROW()-5),"")))</f>
        <v/>
      </c>
      <c r="F23" s="122"/>
      <c r="G23" s="123"/>
      <c r="H23" s="99" t="str" cm="1">
        <f t="array" ref="H23">IF(IFERROR(_xlfn.AGGREGATE(15,6,ROW('TIME REPORT'!$Q$6:$Q$98)/('TIME REPORT'!$Q$6:$Q$98=$T$3),ROW()-5),"")="","",INDEX('TIME REPORT'!$H:$H,IFERROR(_xlfn.AGGREGATE(15,6,ROW('TIME REPORT'!$Q$6:$Q$98)/('TIME REPORT'!$Q$6:$Q$98=$T$3),ROW()-5),"")))</f>
        <v/>
      </c>
      <c r="I23" s="154" t="str" cm="1">
        <f t="array" ref="I23">IF(IFERROR(_xlfn.AGGREGATE(15,6,ROW('TIME REPORT'!$Q$6:$Q$98)/('TIME REPORT'!$Q$6:$Q$98=$T$3),ROW()-5),"")="","",INDEX('TIME REPORT'!$I:$I,IFERROR(_xlfn.AGGREGATE(15,6,ROW('TIME REPORT'!$Q$6:$Q$98)/('TIME REPORT'!$Q$6:$Q$98=$T$3),ROW()-5),"")))</f>
        <v/>
      </c>
      <c r="J23" s="115"/>
      <c r="K23" s="115"/>
      <c r="L23" s="115"/>
      <c r="M23" s="116"/>
      <c r="N23" s="117" t="str" cm="1">
        <f t="array" ref="N23">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O23" s="118"/>
      <c r="P23" s="95" t="str" cm="1">
        <f t="array" ref="P23">IF(IFERROR(_xlfn.AGGREGATE(15,6,ROW('TIME REPORT'!$Q$6:$Q$98)/('TIME REPORT'!$Q$6:$Q$98=$T$3),ROW()-5),"")="","",MOD(IF(IFERROR(_xlfn.AGGREGATE(15,6,ROW('TIME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Q23" s="101" t="str" cm="1">
        <f t="array" ref="Q23">IF(IFERROR(_xlfn.AGGREGATE(15,6,ROW('TIME REPORT'!$Q$6:$Q$98)/('TIME REPORT'!$Q$6:$Q$98=$T$3),ROW()-5),"")="","",$T$3)</f>
        <v/>
      </c>
      <c r="R23" s="77"/>
      <c r="S23" s="77"/>
      <c r="T23" s="77"/>
      <c r="U23"/>
      <c r="V23"/>
      <c r="W23"/>
      <c r="Y23"/>
      <c r="Z23"/>
      <c r="AA23"/>
      <c r="AB23"/>
      <c r="AC23"/>
      <c r="AD23"/>
      <c r="AE23"/>
    </row>
    <row r="24" spans="1:31" ht="25.05" customHeight="1">
      <c r="A24" s="94" t="str" cm="1">
        <f t="array" ref="A24">IF(IFERROR(_xlfn.AGGREGATE(15,6,ROW('TIME REPORT'!$Q$6:$Q$98)/('TIME REPORT'!$Q$6:$Q$98=$T$3),ROW()-5),"")="","",INDEX('TIME REPORT'!$A:$A,IFERROR(_xlfn.AGGREGATE(15,6,ROW('TIME REPORT'!$Q$6:$Q$98)/('TIME REPORT'!$Q$6:$Q$98=$T$3),ROW()-5),"")))</f>
        <v/>
      </c>
      <c r="B24" s="98" t="str" cm="1">
        <f t="array" ref="B24">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REPORT'!$Q$6:$Q$98=$T$3),ROW()-5),"")),1)*100,0)+($T$1+$T$2)*60)),60)/100)</f>
        <v/>
      </c>
      <c r="C24" s="153" t="str" cm="1">
        <f t="array" ref="C24">IF(IFERROR(_xlfn.AGGREGATE(15,6,ROW('TIME REPORT'!$Q$6:$Q$98)/('TIME REPORT'!$Q$6:$Q$98=$T$3),ROW()-5),"")="","",INDEX('TIME REPORT'!$C:$C,IFERROR(_xlfn.AGGREGATE(15,6,ROW('TIME REPORT'!$Q$6:$Q$98)/('TIME REPORT'!$Q$6:$Q$98=$T$3),ROW()-5),"")))</f>
        <v/>
      </c>
      <c r="D24" s="120"/>
      <c r="E24" s="124" t="str" cm="1">
        <f t="array" ref="E24">IF(IFERROR(_xlfn.AGGREGATE(15,6,ROW('TIME REPORT'!$Q$6:$Q$98)/('TIME REPORT'!$Q$6:$Q$98=$T$3),ROW()-5),"")="","",INDEX('TIME REPORT'!$E:$E,IFERROR(_xlfn.AGGREGATE(15,6,ROW('TIME REPORT'!$Q$6:$Q$98)/('TIME REPORT'!$Q$6:$Q$98=$T$3),ROW()-5),"")))</f>
        <v/>
      </c>
      <c r="F24" s="122"/>
      <c r="G24" s="123"/>
      <c r="H24" s="99" t="str" cm="1">
        <f t="array" ref="H24">IF(IFERROR(_xlfn.AGGREGATE(15,6,ROW('TIME REPORT'!$Q$6:$Q$98)/('TIME REPORT'!$Q$6:$Q$98=$T$3),ROW()-5),"")="","",INDEX('TIME REPORT'!$H:$H,IFERROR(_xlfn.AGGREGATE(15,6,ROW('TIME REPORT'!$Q$6:$Q$98)/('TIME REPORT'!$Q$6:$Q$98=$T$3),ROW()-5),"")))</f>
        <v/>
      </c>
      <c r="I24" s="154" t="str" cm="1">
        <f t="array" ref="I24">IF(IFERROR(_xlfn.AGGREGATE(15,6,ROW('TIME REPORT'!$Q$6:$Q$98)/('TIME REPORT'!$Q$6:$Q$98=$T$3),ROW()-5),"")="","",INDEX('TIME REPORT'!$I:$I,IFERROR(_xlfn.AGGREGATE(15,6,ROW('TIME REPORT'!$Q$6:$Q$98)/('TIME REPORT'!$Q$6:$Q$98=$T$3),ROW()-5),"")))</f>
        <v/>
      </c>
      <c r="J24" s="115"/>
      <c r="K24" s="115"/>
      <c r="L24" s="115"/>
      <c r="M24" s="116"/>
      <c r="N24" s="117" t="str" cm="1">
        <f t="array" ref="N24">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O24" s="118"/>
      <c r="P24" s="95" t="str" cm="1">
        <f t="array" ref="P24">IF(IFERROR(_xlfn.AGGREGATE(15,6,ROW('TIME REPORT'!$Q$6:$Q$98)/('TIME REPORT'!$Q$6:$Q$98=$T$3),ROW()-5),"")="","",MOD(IF(IFERROR(_xlfn.AGGREGATE(15,6,ROW('TIME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Q24" s="101" t="str" cm="1">
        <f t="array" ref="Q24">IF(IFERROR(_xlfn.AGGREGATE(15,6,ROW('TIME REPORT'!$Q$6:$Q$98)/('TIME REPORT'!$Q$6:$Q$98=$T$3),ROW()-5),"")="","",$T$3)</f>
        <v/>
      </c>
      <c r="R24" s="77"/>
      <c r="S24" s="77"/>
      <c r="T24" s="77"/>
      <c r="U24"/>
      <c r="V24"/>
      <c r="W24"/>
      <c r="Y24"/>
      <c r="Z24"/>
      <c r="AA24"/>
      <c r="AB24"/>
      <c r="AC24"/>
      <c r="AD24"/>
      <c r="AE24"/>
    </row>
    <row r="25" spans="1:31" ht="25.05" customHeight="1">
      <c r="A25" s="94" t="str" cm="1">
        <f t="array" ref="A25">IF(IFERROR(_xlfn.AGGREGATE(15,6,ROW('TIME REPORT'!$Q$6:$Q$98)/('TIME REPORT'!$Q$6:$Q$98=$T$3),ROW()-5),"")="","",INDEX('TIME REPORT'!$A:$A,IFERROR(_xlfn.AGGREGATE(15,6,ROW('TIME REPORT'!$Q$6:$Q$98)/('TIME REPORT'!$Q$6:$Q$98=$T$3),ROW()-5),"")))</f>
        <v/>
      </c>
      <c r="B25" s="98" t="str" cm="1">
        <f t="array" ref="B25">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REPORT'!$Q$6:$Q$98=$T$3),ROW()-5),"")),1)*100,0)+($T$1+$T$2)*60)),60)/100)</f>
        <v/>
      </c>
      <c r="C25" s="153" t="str" cm="1">
        <f t="array" ref="C25">IF(IFERROR(_xlfn.AGGREGATE(15,6,ROW('TIME REPORT'!$Q$6:$Q$98)/('TIME REPORT'!$Q$6:$Q$98=$T$3),ROW()-5),"")="","",INDEX('TIME REPORT'!$C:$C,IFERROR(_xlfn.AGGREGATE(15,6,ROW('TIME REPORT'!$Q$6:$Q$98)/('TIME REPORT'!$Q$6:$Q$98=$T$3),ROW()-5),"")))</f>
        <v/>
      </c>
      <c r="D25" s="120"/>
      <c r="E25" s="124" t="str" cm="1">
        <f t="array" ref="E25">IF(IFERROR(_xlfn.AGGREGATE(15,6,ROW('TIME REPORT'!$Q$6:$Q$98)/('TIME REPORT'!$Q$6:$Q$98=$T$3),ROW()-5),"")="","",INDEX('TIME REPORT'!$E:$E,IFERROR(_xlfn.AGGREGATE(15,6,ROW('TIME REPORT'!$Q$6:$Q$98)/('TIME REPORT'!$Q$6:$Q$98=$T$3),ROW()-5),"")))</f>
        <v/>
      </c>
      <c r="F25" s="122"/>
      <c r="G25" s="123"/>
      <c r="H25" s="99" t="str" cm="1">
        <f t="array" ref="H25">IF(IFERROR(_xlfn.AGGREGATE(15,6,ROW('TIME REPORT'!$Q$6:$Q$98)/('TIME REPORT'!$Q$6:$Q$98=$T$3),ROW()-5),"")="","",INDEX('TIME REPORT'!$H:$H,IFERROR(_xlfn.AGGREGATE(15,6,ROW('TIME REPORT'!$Q$6:$Q$98)/('TIME REPORT'!$Q$6:$Q$98=$T$3),ROW()-5),"")))</f>
        <v/>
      </c>
      <c r="I25" s="154" t="str" cm="1">
        <f t="array" ref="I25">IF(IFERROR(_xlfn.AGGREGATE(15,6,ROW('TIME REPORT'!$Q$6:$Q$98)/('TIME REPORT'!$Q$6:$Q$98=$T$3),ROW()-5),"")="","",INDEX('TIME REPORT'!$I:$I,IFERROR(_xlfn.AGGREGATE(15,6,ROW('TIME REPORT'!$Q$6:$Q$98)/('TIME REPORT'!$Q$6:$Q$98=$T$3),ROW()-5),"")))</f>
        <v/>
      </c>
      <c r="J25" s="115"/>
      <c r="K25" s="115"/>
      <c r="L25" s="115"/>
      <c r="M25" s="116"/>
      <c r="N25" s="117" t="str" cm="1">
        <f t="array" ref="N25">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O25" s="118"/>
      <c r="P25" s="95" t="str" cm="1">
        <f t="array" ref="P25">IF(IFERROR(_xlfn.AGGREGATE(15,6,ROW('TIME REPORT'!$Q$6:$Q$98)/('TIME REPORT'!$Q$6:$Q$98=$T$3),ROW()-5),"")="","",MOD(IF(IFERROR(_xlfn.AGGREGATE(15,6,ROW('TIME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Q25" s="101" t="str" cm="1">
        <f t="array" ref="Q25">IF(IFERROR(_xlfn.AGGREGATE(15,6,ROW('TIME REPORT'!$Q$6:$Q$98)/('TIME REPORT'!$Q$6:$Q$98=$T$3),ROW()-5),"")="","",$T$3)</f>
        <v/>
      </c>
      <c r="R25" s="77"/>
      <c r="S25" s="77"/>
      <c r="T25" s="77"/>
      <c r="U25"/>
      <c r="V25"/>
      <c r="W25"/>
      <c r="Y25"/>
      <c r="Z25"/>
      <c r="AA25"/>
      <c r="AB25"/>
      <c r="AC25"/>
      <c r="AD25"/>
      <c r="AE25"/>
    </row>
    <row r="26" spans="1:31" ht="25.05" customHeight="1">
      <c r="A26" s="94" t="str" cm="1">
        <f t="array" ref="A26">IF(IFERROR(_xlfn.AGGREGATE(15,6,ROW('TIME REPORT'!$Q$6:$Q$98)/('TIME REPORT'!$Q$6:$Q$98=$T$3),ROW()-5),"")="","",INDEX('TIME REPORT'!$A:$A,IFERROR(_xlfn.AGGREGATE(15,6,ROW('TIME REPORT'!$Q$6:$Q$98)/('TIME REPORT'!$Q$6:$Q$98=$T$3),ROW()-5),"")))</f>
        <v/>
      </c>
      <c r="B26" s="98" t="str" cm="1">
        <f t="array" ref="B26">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REPORT'!$Q$6:$Q$98=$T$3),ROW()-5),"")),1)*100,0)+($T$1+$T$2)*60)),60)/100)</f>
        <v/>
      </c>
      <c r="C26" s="153" t="str" cm="1">
        <f t="array" ref="C26">IF(IFERROR(_xlfn.AGGREGATE(15,6,ROW('TIME REPORT'!$Q$6:$Q$98)/('TIME REPORT'!$Q$6:$Q$98=$T$3),ROW()-5),"")="","",INDEX('TIME REPORT'!$C:$C,IFERROR(_xlfn.AGGREGATE(15,6,ROW('TIME REPORT'!$Q$6:$Q$98)/('TIME REPORT'!$Q$6:$Q$98=$T$3),ROW()-5),"")))</f>
        <v/>
      </c>
      <c r="D26" s="120"/>
      <c r="E26" s="124" t="str" cm="1">
        <f t="array" ref="E26">IF(IFERROR(_xlfn.AGGREGATE(15,6,ROW('TIME REPORT'!$Q$6:$Q$98)/('TIME REPORT'!$Q$6:$Q$98=$T$3),ROW()-5),"")="","",INDEX('TIME REPORT'!$E:$E,IFERROR(_xlfn.AGGREGATE(15,6,ROW('TIME REPORT'!$Q$6:$Q$98)/('TIME REPORT'!$Q$6:$Q$98=$T$3),ROW()-5),"")))</f>
        <v/>
      </c>
      <c r="F26" s="122"/>
      <c r="G26" s="123"/>
      <c r="H26" s="99" t="str" cm="1">
        <f t="array" ref="H26">IF(IFERROR(_xlfn.AGGREGATE(15,6,ROW('TIME REPORT'!$Q$6:$Q$98)/('TIME REPORT'!$Q$6:$Q$98=$T$3),ROW()-5),"")="","",INDEX('TIME REPORT'!$H:$H,IFERROR(_xlfn.AGGREGATE(15,6,ROW('TIME REPORT'!$Q$6:$Q$98)/('TIME REPORT'!$Q$6:$Q$98=$T$3),ROW()-5),"")))</f>
        <v/>
      </c>
      <c r="I26" s="154" t="str" cm="1">
        <f t="array" ref="I26">IF(IFERROR(_xlfn.AGGREGATE(15,6,ROW('TIME REPORT'!$Q$6:$Q$98)/('TIME REPORT'!$Q$6:$Q$98=$T$3),ROW()-5),"")="","",INDEX('TIME REPORT'!$I:$I,IFERROR(_xlfn.AGGREGATE(15,6,ROW('TIME REPORT'!$Q$6:$Q$98)/('TIME REPORT'!$Q$6:$Q$98=$T$3),ROW()-5),"")))</f>
        <v/>
      </c>
      <c r="J26" s="115"/>
      <c r="K26" s="115"/>
      <c r="L26" s="115"/>
      <c r="M26" s="116"/>
      <c r="N26" s="117" t="str" cm="1">
        <f t="array" ref="N26">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O26" s="118"/>
      <c r="P26" s="95" t="str" cm="1">
        <f t="array" ref="P26">IF(IFERROR(_xlfn.AGGREGATE(15,6,ROW('TIME REPORT'!$Q$6:$Q$98)/('TIME REPORT'!$Q$6:$Q$98=$T$3),ROW()-5),"")="","",MOD(IF(IFERROR(_xlfn.AGGREGATE(15,6,ROW('TIME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Q26" s="101" t="str" cm="1">
        <f t="array" ref="Q26">IF(IFERROR(_xlfn.AGGREGATE(15,6,ROW('TIME REPORT'!$Q$6:$Q$98)/('TIME REPORT'!$Q$6:$Q$98=$T$3),ROW()-5),"")="","",$T$3)</f>
        <v/>
      </c>
      <c r="R26" s="77"/>
      <c r="S26" s="77"/>
      <c r="T26" s="77"/>
      <c r="U26"/>
      <c r="V26"/>
      <c r="W26"/>
      <c r="Y26"/>
      <c r="Z26"/>
      <c r="AA26"/>
      <c r="AB26"/>
      <c r="AC26"/>
      <c r="AD26"/>
      <c r="AE26"/>
    </row>
    <row r="27" spans="1:31" ht="25.05" customHeight="1">
      <c r="A27" s="94" t="str" cm="1">
        <f t="array" ref="A27">IF(IFERROR(_xlfn.AGGREGATE(15,6,ROW('TIME REPORT'!$Q$6:$Q$98)/('TIME REPORT'!$Q$6:$Q$98=$T$3),ROW()-5),"")="","",INDEX('TIME REPORT'!$A:$A,IFERROR(_xlfn.AGGREGATE(15,6,ROW('TIME REPORT'!$Q$6:$Q$98)/('TIME REPORT'!$Q$6:$Q$98=$T$3),ROW()-5),"")))</f>
        <v/>
      </c>
      <c r="B27" s="98" t="str" cm="1">
        <f t="array" ref="B27">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REPORT'!$Q$6:$Q$98=$T$3),ROW()-5),"")),1)*100,0)+($T$1+$T$2)*60)),60)/100)</f>
        <v/>
      </c>
      <c r="C27" s="153" t="str" cm="1">
        <f t="array" ref="C27">IF(IFERROR(_xlfn.AGGREGATE(15,6,ROW('TIME REPORT'!$Q$6:$Q$98)/('TIME REPORT'!$Q$6:$Q$98=$T$3),ROW()-5),"")="","",INDEX('TIME REPORT'!$C:$C,IFERROR(_xlfn.AGGREGATE(15,6,ROW('TIME REPORT'!$Q$6:$Q$98)/('TIME REPORT'!$Q$6:$Q$98=$T$3),ROW()-5),"")))</f>
        <v/>
      </c>
      <c r="D27" s="120"/>
      <c r="E27" s="124" t="str" cm="1">
        <f t="array" ref="E27">IF(IFERROR(_xlfn.AGGREGATE(15,6,ROW('TIME REPORT'!$Q$6:$Q$98)/('TIME REPORT'!$Q$6:$Q$98=$T$3),ROW()-5),"")="","",INDEX('TIME REPORT'!$E:$E,IFERROR(_xlfn.AGGREGATE(15,6,ROW('TIME REPORT'!$Q$6:$Q$98)/('TIME REPORT'!$Q$6:$Q$98=$T$3),ROW()-5),"")))</f>
        <v/>
      </c>
      <c r="F27" s="122"/>
      <c r="G27" s="123"/>
      <c r="H27" s="99" t="str" cm="1">
        <f t="array" ref="H27">IF(IFERROR(_xlfn.AGGREGATE(15,6,ROW('TIME REPORT'!$Q$6:$Q$98)/('TIME REPORT'!$Q$6:$Q$98=$T$3),ROW()-5),"")="","",INDEX('TIME REPORT'!$H:$H,IFERROR(_xlfn.AGGREGATE(15,6,ROW('TIME REPORT'!$Q$6:$Q$98)/('TIME REPORT'!$Q$6:$Q$98=$T$3),ROW()-5),"")))</f>
        <v/>
      </c>
      <c r="I27" s="154" t="str" cm="1">
        <f t="array" ref="I27">IF(IFERROR(_xlfn.AGGREGATE(15,6,ROW('TIME REPORT'!$Q$6:$Q$98)/('TIME REPORT'!$Q$6:$Q$98=$T$3),ROW()-5),"")="","",INDEX('TIME REPORT'!$I:$I,IFERROR(_xlfn.AGGREGATE(15,6,ROW('TIME REPORT'!$Q$6:$Q$98)/('TIME REPORT'!$Q$6:$Q$98=$T$3),ROW()-5),"")))</f>
        <v/>
      </c>
      <c r="J27" s="115"/>
      <c r="K27" s="115"/>
      <c r="L27" s="115"/>
      <c r="M27" s="116"/>
      <c r="N27" s="117" t="str" cm="1">
        <f t="array" ref="N27">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O27" s="118"/>
      <c r="P27" s="95" t="str" cm="1">
        <f t="array" ref="P27">IF(IFERROR(_xlfn.AGGREGATE(15,6,ROW('TIME REPORT'!$Q$6:$Q$98)/('TIME REPORT'!$Q$6:$Q$98=$T$3),ROW()-5),"")="","",MOD(IF(IFERROR(_xlfn.AGGREGATE(15,6,ROW('TIME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Q27" s="101" t="str" cm="1">
        <f t="array" ref="Q27">IF(IFERROR(_xlfn.AGGREGATE(15,6,ROW('TIME REPORT'!$Q$6:$Q$98)/('TIME REPORT'!$Q$6:$Q$98=$T$3),ROW()-5),"")="","",$T$3)</f>
        <v/>
      </c>
      <c r="R27" s="77"/>
      <c r="S27" s="77"/>
      <c r="T27" s="77"/>
      <c r="U27"/>
      <c r="V27"/>
      <c r="W27"/>
      <c r="Y27"/>
      <c r="Z27"/>
      <c r="AA27"/>
      <c r="AB27"/>
      <c r="AC27"/>
      <c r="AD27"/>
      <c r="AE27"/>
    </row>
    <row r="28" spans="1:31" ht="25.05" customHeight="1">
      <c r="A28" s="94" t="str" cm="1">
        <f t="array" ref="A28">IF(IFERROR(_xlfn.AGGREGATE(15,6,ROW('TIME REPORT'!$Q$6:$Q$98)/('TIME REPORT'!$Q$6:$Q$98=$T$3),ROW()-5),"")="","",INDEX('TIME REPORT'!$A:$A,IFERROR(_xlfn.AGGREGATE(15,6,ROW('TIME REPORT'!$Q$6:$Q$98)/('TIME REPORT'!$Q$6:$Q$98=$T$3),ROW()-5),"")))</f>
        <v/>
      </c>
      <c r="B28" s="98" t="str" cm="1">
        <f t="array" ref="B28">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REPORT'!$Q$6:$Q$98=$T$3),ROW()-5),"")),1)*100,0)+($T$1+$T$2)*60)),60)/100)</f>
        <v/>
      </c>
      <c r="C28" s="153" t="str" cm="1">
        <f t="array" ref="C28">IF(IFERROR(_xlfn.AGGREGATE(15,6,ROW('TIME REPORT'!$Q$6:$Q$98)/('TIME REPORT'!$Q$6:$Q$98=$T$3),ROW()-5),"")="","",INDEX('TIME REPORT'!$C:$C,IFERROR(_xlfn.AGGREGATE(15,6,ROW('TIME REPORT'!$Q$6:$Q$98)/('TIME REPORT'!$Q$6:$Q$98=$T$3),ROW()-5),"")))</f>
        <v/>
      </c>
      <c r="D28" s="120"/>
      <c r="E28" s="124" t="str" cm="1">
        <f t="array" ref="E28">IF(IFERROR(_xlfn.AGGREGATE(15,6,ROW('TIME REPORT'!$Q$6:$Q$98)/('TIME REPORT'!$Q$6:$Q$98=$T$3),ROW()-5),"")="","",INDEX('TIME REPORT'!$E:$E,IFERROR(_xlfn.AGGREGATE(15,6,ROW('TIME REPORT'!$Q$6:$Q$98)/('TIME REPORT'!$Q$6:$Q$98=$T$3),ROW()-5),"")))</f>
        <v/>
      </c>
      <c r="F28" s="122"/>
      <c r="G28" s="123"/>
      <c r="H28" s="99" t="str" cm="1">
        <f t="array" ref="H28">IF(IFERROR(_xlfn.AGGREGATE(15,6,ROW('TIME REPORT'!$Q$6:$Q$98)/('TIME REPORT'!$Q$6:$Q$98=$T$3),ROW()-5),"")="","",INDEX('TIME REPORT'!$H:$H,IFERROR(_xlfn.AGGREGATE(15,6,ROW('TIME REPORT'!$Q$6:$Q$98)/('TIME REPORT'!$Q$6:$Q$98=$T$3),ROW()-5),"")))</f>
        <v/>
      </c>
      <c r="I28" s="154" t="str" cm="1">
        <f t="array" ref="I28">IF(IFERROR(_xlfn.AGGREGATE(15,6,ROW('TIME REPORT'!$Q$6:$Q$98)/('TIME REPORT'!$Q$6:$Q$98=$T$3),ROW()-5),"")="","",INDEX('TIME REPORT'!$I:$I,IFERROR(_xlfn.AGGREGATE(15,6,ROW('TIME REPORT'!$Q$6:$Q$98)/('TIME REPORT'!$Q$6:$Q$98=$T$3),ROW()-5),"")))</f>
        <v/>
      </c>
      <c r="J28" s="115"/>
      <c r="K28" s="115"/>
      <c r="L28" s="115"/>
      <c r="M28" s="116"/>
      <c r="N28" s="117" t="str" cm="1">
        <f t="array" ref="N28">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O28" s="118"/>
      <c r="P28" s="95" t="str" cm="1">
        <f t="array" ref="P28">IF(IFERROR(_xlfn.AGGREGATE(15,6,ROW('TIME REPORT'!$Q$6:$Q$98)/('TIME REPORT'!$Q$6:$Q$98=$T$3),ROW()-5),"")="","",MOD(IF(IFERROR(_xlfn.AGGREGATE(15,6,ROW('TIME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Q28" s="101" t="str" cm="1">
        <f t="array" ref="Q28">IF(IFERROR(_xlfn.AGGREGATE(15,6,ROW('TIME REPORT'!$Q$6:$Q$98)/('TIME REPORT'!$Q$6:$Q$98=$T$3),ROW()-5),"")="","",$T$3)</f>
        <v/>
      </c>
      <c r="R28" s="77"/>
      <c r="S28" s="77"/>
      <c r="T28" s="77"/>
      <c r="U28"/>
      <c r="V28"/>
      <c r="W28"/>
      <c r="Y28"/>
      <c r="Z28"/>
      <c r="AA28"/>
      <c r="AB28"/>
      <c r="AC28"/>
      <c r="AD28"/>
      <c r="AE28"/>
    </row>
    <row r="29" spans="1:31" ht="25.05" customHeight="1">
      <c r="A29" s="94" t="str" cm="1">
        <f t="array" ref="A29">IF(IFERROR(_xlfn.AGGREGATE(15,6,ROW('TIME REPORT'!$Q$6:$Q$98)/('TIME REPORT'!$Q$6:$Q$98=$T$3),ROW()-5),"")="","",INDEX('TIME REPORT'!$A:$A,IFERROR(_xlfn.AGGREGATE(15,6,ROW('TIME REPORT'!$Q$6:$Q$98)/('TIME REPORT'!$Q$6:$Q$98=$T$3),ROW()-5),"")))</f>
        <v/>
      </c>
      <c r="B29" s="98" t="str" cm="1">
        <f t="array" ref="B29">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REPORT'!$Q$6:$Q$98=$T$3),ROW()-5),"")),1)*100,0)+($T$1+$T$2)*60)),60)/100)</f>
        <v/>
      </c>
      <c r="C29" s="153" t="str" cm="1">
        <f t="array" ref="C29">IF(IFERROR(_xlfn.AGGREGATE(15,6,ROW('TIME REPORT'!$Q$6:$Q$98)/('TIME REPORT'!$Q$6:$Q$98=$T$3),ROW()-5),"")="","",INDEX('TIME REPORT'!$C:$C,IFERROR(_xlfn.AGGREGATE(15,6,ROW('TIME REPORT'!$Q$6:$Q$98)/('TIME REPORT'!$Q$6:$Q$98=$T$3),ROW()-5),"")))</f>
        <v/>
      </c>
      <c r="D29" s="120"/>
      <c r="E29" s="124" t="str" cm="1">
        <f t="array" ref="E29">IF(IFERROR(_xlfn.AGGREGATE(15,6,ROW('TIME REPORT'!$Q$6:$Q$98)/('TIME REPORT'!$Q$6:$Q$98=$T$3),ROW()-5),"")="","",INDEX('TIME REPORT'!$E:$E,IFERROR(_xlfn.AGGREGATE(15,6,ROW('TIME REPORT'!$Q$6:$Q$98)/('TIME REPORT'!$Q$6:$Q$98=$T$3),ROW()-5),"")))</f>
        <v/>
      </c>
      <c r="F29" s="122"/>
      <c r="G29" s="123"/>
      <c r="H29" s="99" t="str" cm="1">
        <f t="array" ref="H29">IF(IFERROR(_xlfn.AGGREGATE(15,6,ROW('TIME REPORT'!$Q$6:$Q$98)/('TIME REPORT'!$Q$6:$Q$98=$T$3),ROW()-5),"")="","",INDEX('TIME REPORT'!$H:$H,IFERROR(_xlfn.AGGREGATE(15,6,ROW('TIME REPORT'!$Q$6:$Q$98)/('TIME REPORT'!$Q$6:$Q$98=$T$3),ROW()-5),"")))</f>
        <v/>
      </c>
      <c r="I29" s="154" t="str" cm="1">
        <f t="array" ref="I29">IF(IFERROR(_xlfn.AGGREGATE(15,6,ROW('TIME REPORT'!$Q$6:$Q$98)/('TIME REPORT'!$Q$6:$Q$98=$T$3),ROW()-5),"")="","",INDEX('TIME REPORT'!$I:$I,IFERROR(_xlfn.AGGREGATE(15,6,ROW('TIME REPORT'!$Q$6:$Q$98)/('TIME REPORT'!$Q$6:$Q$98=$T$3),ROW()-5),"")))</f>
        <v/>
      </c>
      <c r="J29" s="115"/>
      <c r="K29" s="115"/>
      <c r="L29" s="115"/>
      <c r="M29" s="116"/>
      <c r="N29" s="117" t="str" cm="1">
        <f t="array" ref="N29">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O29" s="118"/>
      <c r="P29" s="95" t="str" cm="1">
        <f t="array" ref="P29">IF(IFERROR(_xlfn.AGGREGATE(15,6,ROW('TIME REPORT'!$Q$6:$Q$98)/('TIME REPORT'!$Q$6:$Q$98=$T$3),ROW()-5),"")="","",MOD(IF(IFERROR(_xlfn.AGGREGATE(15,6,ROW('TIME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Q29" s="101" t="str" cm="1">
        <f t="array" ref="Q29">IF(IFERROR(_xlfn.AGGREGATE(15,6,ROW('TIME REPORT'!$Q$6:$Q$98)/('TIME REPORT'!$Q$6:$Q$98=$T$3),ROW()-5),"")="","",$T$3)</f>
        <v/>
      </c>
      <c r="R29" s="77"/>
      <c r="S29" s="77"/>
      <c r="T29" s="77"/>
      <c r="U29"/>
      <c r="V29"/>
      <c r="W29"/>
      <c r="Y29"/>
      <c r="Z29"/>
      <c r="AA29"/>
      <c r="AB29"/>
      <c r="AC29"/>
      <c r="AD29"/>
      <c r="AE29"/>
    </row>
    <row r="30" spans="1:31" ht="25.05" customHeight="1">
      <c r="A30" s="94" t="str" cm="1">
        <f t="array" ref="A30">IF(IFERROR(_xlfn.AGGREGATE(15,6,ROW('TIME REPORT'!$Q$6:$Q$98)/('TIME REPORT'!$Q$6:$Q$98=$T$3),ROW()-5),"")="","",INDEX('TIME REPORT'!$A:$A,IFERROR(_xlfn.AGGREGATE(15,6,ROW('TIME REPORT'!$Q$6:$Q$98)/('TIME REPORT'!$Q$6:$Q$98=$T$3),ROW()-5),"")))</f>
        <v/>
      </c>
      <c r="B30" s="98" t="str" cm="1">
        <f t="array" ref="B30">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REPORT'!$Q$6:$Q$98=$T$3),ROW()-5),"")),1)*100,0)+($T$1+$T$2)*60)),60)/100)</f>
        <v/>
      </c>
      <c r="C30" s="153" t="str" cm="1">
        <f t="array" ref="C30">IF(IFERROR(_xlfn.AGGREGATE(15,6,ROW('TIME REPORT'!$Q$6:$Q$98)/('TIME REPORT'!$Q$6:$Q$98=$T$3),ROW()-5),"")="","",INDEX('TIME REPORT'!$C:$C,IFERROR(_xlfn.AGGREGATE(15,6,ROW('TIME REPORT'!$Q$6:$Q$98)/('TIME REPORT'!$Q$6:$Q$98=$T$3),ROW()-5),"")))</f>
        <v/>
      </c>
      <c r="D30" s="120"/>
      <c r="E30" s="124" t="str" cm="1">
        <f t="array" ref="E30">IF(IFERROR(_xlfn.AGGREGATE(15,6,ROW('TIME REPORT'!$Q$6:$Q$98)/('TIME REPORT'!$Q$6:$Q$98=$T$3),ROW()-5),"")="","",INDEX('TIME REPORT'!$E:$E,IFERROR(_xlfn.AGGREGATE(15,6,ROW('TIME REPORT'!$Q$6:$Q$98)/('TIME REPORT'!$Q$6:$Q$98=$T$3),ROW()-5),"")))</f>
        <v/>
      </c>
      <c r="F30" s="122"/>
      <c r="G30" s="123"/>
      <c r="H30" s="99" t="str" cm="1">
        <f t="array" ref="H30">IF(IFERROR(_xlfn.AGGREGATE(15,6,ROW('TIME REPORT'!$Q$6:$Q$98)/('TIME REPORT'!$Q$6:$Q$98=$T$3),ROW()-5),"")="","",INDEX('TIME REPORT'!$H:$H,IFERROR(_xlfn.AGGREGATE(15,6,ROW('TIME REPORT'!$Q$6:$Q$98)/('TIME REPORT'!$Q$6:$Q$98=$T$3),ROW()-5),"")))</f>
        <v/>
      </c>
      <c r="I30" s="154" t="str" cm="1">
        <f t="array" ref="I30">IF(IFERROR(_xlfn.AGGREGATE(15,6,ROW('TIME REPORT'!$Q$6:$Q$98)/('TIME REPORT'!$Q$6:$Q$98=$T$3),ROW()-5),"")="","",INDEX('TIME REPORT'!$I:$I,IFERROR(_xlfn.AGGREGATE(15,6,ROW('TIME REPORT'!$Q$6:$Q$98)/('TIME REPORT'!$Q$6:$Q$98=$T$3),ROW()-5),"")))</f>
        <v/>
      </c>
      <c r="J30" s="115"/>
      <c r="K30" s="115"/>
      <c r="L30" s="115"/>
      <c r="M30" s="116"/>
      <c r="N30" s="117" t="str" cm="1">
        <f t="array" ref="N30">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O30" s="118"/>
      <c r="P30" s="95" t="str" cm="1">
        <f t="array" ref="P30">IF(IFERROR(_xlfn.AGGREGATE(15,6,ROW('TIME REPORT'!$Q$6:$Q$98)/('TIME REPORT'!$Q$6:$Q$98=$T$3),ROW()-5),"")="","",MOD(IF(IFERROR(_xlfn.AGGREGATE(15,6,ROW('TIME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Q30" s="101" t="str" cm="1">
        <f t="array" ref="Q30">IF(IFERROR(_xlfn.AGGREGATE(15,6,ROW('TIME REPORT'!$Q$6:$Q$98)/('TIME REPORT'!$Q$6:$Q$98=$T$3),ROW()-5),"")="","",$T$3)</f>
        <v/>
      </c>
      <c r="R30" s="77"/>
      <c r="S30" s="77"/>
      <c r="T30" s="77"/>
      <c r="U30"/>
      <c r="V30"/>
      <c r="W30"/>
      <c r="Y30"/>
      <c r="Z30"/>
      <c r="AA30"/>
      <c r="AB30"/>
      <c r="AC30"/>
      <c r="AD30"/>
      <c r="AE30"/>
    </row>
    <row r="31" spans="1:31" ht="25.05" customHeight="1">
      <c r="A31" s="94" t="str" cm="1">
        <f t="array" ref="A31">IF(IFERROR(_xlfn.AGGREGATE(15,6,ROW('TIME REPORT'!$Q$6:$Q$98)/('TIME REPORT'!$Q$6:$Q$98=$T$3),ROW()-5),"")="","",INDEX('TIME REPORT'!$A:$A,IFERROR(_xlfn.AGGREGATE(15,6,ROW('TIME REPORT'!$Q$6:$Q$98)/('TIME REPORT'!$Q$6:$Q$98=$T$3),ROW()-5),"")))</f>
        <v/>
      </c>
      <c r="B31" s="102" t="str" cm="1">
        <f t="array" ref="B31">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REPORT'!$Q$6:$Q$98=$T$3),ROW()-5),"")),1)*100,0)+($T$1+$T$2)*60)),60)/100)</f>
        <v/>
      </c>
      <c r="C31" s="155" t="str" cm="1">
        <f t="array" ref="C31">IF(IFERROR(_xlfn.AGGREGATE(15,6,ROW('TIME REPORT'!$Q$6:$Q$98)/('TIME REPORT'!$Q$6:$Q$98=$T$3),ROW()-5),"")="","",INDEX('TIME REPORT'!$C:$C,IFERROR(_xlfn.AGGREGATE(15,6,ROW('TIME REPORT'!$Q$6:$Q$98)/('TIME REPORT'!$Q$6:$Q$98=$T$3),ROW()-5),"")))</f>
        <v/>
      </c>
      <c r="D31" s="126"/>
      <c r="E31" s="124" t="str" cm="1">
        <f t="array" ref="E31">IF(IFERROR(_xlfn.AGGREGATE(15,6,ROW('TIME REPORT'!$Q$6:$Q$98)/('TIME REPORT'!$Q$6:$Q$98=$T$3),ROW()-5),"")="","",INDEX('TIME REPORT'!$E:$E,IFERROR(_xlfn.AGGREGATE(15,6,ROW('TIME REPORT'!$Q$6:$Q$98)/('TIME REPORT'!$Q$6:$Q$98=$T$3),ROW()-5),"")))</f>
        <v/>
      </c>
      <c r="F31" s="122"/>
      <c r="G31" s="123"/>
      <c r="H31" s="99" t="str" cm="1">
        <f t="array" ref="H31">IF(IFERROR(_xlfn.AGGREGATE(15,6,ROW('TIME REPORT'!$Q$6:$Q$98)/('TIME REPORT'!$Q$6:$Q$98=$T$3),ROW()-5),"")="","",INDEX('TIME REPORT'!$H:$H,IFERROR(_xlfn.AGGREGATE(15,6,ROW('TIME REPORT'!$Q$6:$Q$98)/('TIME REPORT'!$Q$6:$Q$98=$T$3),ROW()-5),"")))</f>
        <v/>
      </c>
      <c r="I31" s="154" t="str" cm="1">
        <f t="array" ref="I31">IF(IFERROR(_xlfn.AGGREGATE(15,6,ROW('TIME REPORT'!$Q$6:$Q$98)/('TIME REPORT'!$Q$6:$Q$98=$T$3),ROW()-5),"")="","",INDEX('TIME REPORT'!$I:$I,IFERROR(_xlfn.AGGREGATE(15,6,ROW('TIME REPORT'!$Q$6:$Q$98)/('TIME REPORT'!$Q$6:$Q$98=$T$3),ROW()-5),"")))</f>
        <v/>
      </c>
      <c r="J31" s="115"/>
      <c r="K31" s="115"/>
      <c r="L31" s="115"/>
      <c r="M31" s="116"/>
      <c r="N31" s="117" t="str" cm="1">
        <f t="array" ref="N31">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O31" s="118"/>
      <c r="P31" s="95" t="str" cm="1">
        <f t="array" ref="P31">IF(IFERROR(_xlfn.AGGREGATE(15,6,ROW('TIME REPORT'!$Q$6:$Q$98)/('TIME REPORT'!$Q$6:$Q$98=$T$3),ROW()-5),"")="","",MOD(IF(IFERROR(_xlfn.AGGREGATE(15,6,ROW('TIME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Q31" s="101" t="str" cm="1">
        <f t="array" ref="Q31">IF(IFERROR(_xlfn.AGGREGATE(15,6,ROW('TIME REPORT'!$Q$6:$Q$98)/('TIME REPORT'!$Q$6:$Q$98=$T$3),ROW()-5),"")="","",$T$3)</f>
        <v/>
      </c>
      <c r="R31" s="77"/>
      <c r="S31" s="77"/>
      <c r="T31" s="77"/>
      <c r="U31"/>
      <c r="V31"/>
      <c r="W31"/>
      <c r="Y31"/>
      <c r="Z31"/>
      <c r="AA31"/>
      <c r="AB31"/>
      <c r="AC31"/>
      <c r="AD31"/>
      <c r="AE31"/>
    </row>
    <row r="32" spans="1:31" ht="25.05" customHeight="1">
      <c r="A32" s="94" t="str" cm="1">
        <f t="array" ref="A32">IF(IFERROR(_xlfn.AGGREGATE(15,6,ROW('TIME REPORT'!$Q$6:$Q$98)/('TIME REPORT'!$Q$6:$Q$98=$T$3),ROW()-5),"")="","",INDEX('TIME REPORT'!$A:$A,IFERROR(_xlfn.AGGREGATE(15,6,ROW('TIME REPORT'!$Q$6:$Q$98)/('TIME REPORT'!$Q$6:$Q$98=$T$3),ROW()-5),"")))</f>
        <v/>
      </c>
      <c r="B32" s="102" t="str" cm="1">
        <f t="array" ref="B32">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REPORT'!$Q$6:$Q$98=$T$3),ROW()-5),""))))&gt;0)),IF(INDEX('TIME REPORT'!$B:$B,IFERROR(_xlfn.AGGREGATE(15,6,ROW('TIME REPORT'!$Q$6:$Q$98)/('TIME REPORT'!$Q$6:$Q$98=$T$3),ROW()-5),""))=0.01,1,INT(INDEX('TIME REPORT'!$B:$B,IFERROR(_xlfn.AGGREGATE(15,6,ROW('TIME REPORT'!$Q$6:$Q$98)/('TIME REPORT'!$Q$6:$Q$98=$T$3),ROW()-5),"")))*60+ROUND(MOD(INDEX('TIME REPORT'!$B:$B,IFERROR(_xlfn.AGGREGATE(15,6,ROW('TIME REPORT'!$Q$6:$Q$98)/('TIME REPORT'!$Q$6:$Q$98=$T$3),ROW()-5),"")),1)*100,0)),INT(INDEX('TIME REPORT'!$B:$B,IFERROR(_xlfn.AGGREGATE(15,6,ROW('TIME REPORT'!$Q$6:$Q$98)/('TIME REPORT'!$Q$6:$Q$98=$T$3),ROW()-5),"")))*60+ROUND(MOD(INDEX('TIME REPORT'!$B:$B,IFERROR(_xlfn.AGGREGATE(15,6,ROW('TIME REPORT'!$Q$6:$Q$98)/('TIME REPORT'!$Q$6:$Q$98=$T$3),ROW()-5),"")),1)*100,0)+($T$1+$T$2)*60)),60)/100)</f>
        <v/>
      </c>
      <c r="C32" s="155" t="str" cm="1">
        <f t="array" ref="C32">IF(IFERROR(_xlfn.AGGREGATE(15,6,ROW('TIME REPORT'!$Q$6:$Q$98)/('TIME REPORT'!$Q$6:$Q$98=$T$3),ROW()-5),"")="","",INDEX('TIME REPORT'!$C:$C,IFERROR(_xlfn.AGGREGATE(15,6,ROW('TIME REPORT'!$Q$6:$Q$98)/('TIME REPORT'!$Q$6:$Q$98=$T$3),ROW()-5),"")))</f>
        <v/>
      </c>
      <c r="D32" s="126"/>
      <c r="E32" s="124" t="str" cm="1">
        <f t="array" ref="E32">IF(IFERROR(_xlfn.AGGREGATE(15,6,ROW('TIME REPORT'!$Q$6:$Q$98)/('TIME REPORT'!$Q$6:$Q$98=$T$3),ROW()-5),"")="","",INDEX('TIME REPORT'!$E:$E,IFERROR(_xlfn.AGGREGATE(15,6,ROW('TIME REPORT'!$Q$6:$Q$98)/('TIME REPORT'!$Q$6:$Q$98=$T$3),ROW()-5),"")))</f>
        <v/>
      </c>
      <c r="F32" s="122"/>
      <c r="G32" s="123"/>
      <c r="H32" s="99" t="str" cm="1">
        <f t="array" ref="H32">IF(IFERROR(_xlfn.AGGREGATE(15,6,ROW('TIME REPORT'!$Q$6:$Q$98)/('TIME REPORT'!$Q$6:$Q$98=$T$3),ROW()-5),"")="","",INDEX('TIME REPORT'!$H:$H,IFERROR(_xlfn.AGGREGATE(15,6,ROW('TIME REPORT'!$Q$6:$Q$98)/('TIME REPORT'!$Q$6:$Q$98=$T$3),ROW()-5),"")))</f>
        <v/>
      </c>
      <c r="I32" s="154" t="str" cm="1">
        <f t="array" ref="I32">IF(IFERROR(_xlfn.AGGREGATE(15,6,ROW('TIME REPORT'!$Q$6:$Q$98)/('TIME REPORT'!$Q$6:$Q$98=$T$3),ROW()-5),"")="","",INDEX('TIME REPORT'!$I:$I,IFERROR(_xlfn.AGGREGATE(15,6,ROW('TIME REPORT'!$Q$6:$Q$98)/('TIME REPORT'!$Q$6:$Q$98=$T$3),ROW()-5),"")))</f>
        <v/>
      </c>
      <c r="J32" s="115"/>
      <c r="K32" s="115"/>
      <c r="L32" s="115"/>
      <c r="M32" s="116"/>
      <c r="N32" s="117" t="str" cm="1">
        <f t="array" ref="N32">IF(IFERROR(_xlfn.AGGREGATE(15,6,ROW('TIME REPORT'!$Q$6:$Q$98)/('TIME REPORT'!$Q$6:$Q$98=$T$3),ROW()-5),"")="","",INT(IF(IFERROR(_xlfn.AGGREGATE(15,6,ROW('TIME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O32" s="118"/>
      <c r="P32" s="95" t="str" cm="1">
        <f t="array" ref="P32">IF(IFERROR(_xlfn.AGGREGATE(15,6,ROW('TIME REPORT'!$Q$6:$Q$98)/('TIME REPORT'!$Q$6:$Q$98=$T$3),ROW()-5),"")="","",MOD(IF(IFERROR(_xlfn.AGGREGATE(15,6,ROW('TIME REPORT'!$Q$6:$Q$98)/('TIME REPORT'!$Q$6:$Q$98=$T$3),ROW()-5),"")="","",IF(IF(IFERROR(_xlfn.AGGREGATE(15,6,ROW('TIME REPORT'!$Q$6:$Q$98)/('TIME REPORT'!$Q$6:$Q$98=$T$3),ROW()-5),"")="","",OR(WEEKDAY(DATE(HOLIDAYS!$E$3,HOLIDAYS!$E$2,INDEX('TIME REPORT'!$A:$A,IFERROR(_xlfn.AGGREGATE(15,6,ROW('TIME REPORT'!$Q$6:$Q$98)/('TIME REPORT'!$Q$6:$Q$98=$T$3),ROW()-5),""))),2)=6,WEEKDAY(DATE(HOLIDAYS!$E$3,HOLIDAYS!$E$2,INDEX('TIME REPORT'!$A:$A,IFERROR(_xlfn.AGGREGATE(15,6,ROW('TIME REPORT'!$Q$6:$Q$98)/('TIME REPORT'!$Q$6:$Q$98=$T$3),ROW()-5),""))),2)=7,COUNTIF(HOLIDAYS!$A$5:$A$199,DATE(HOLIDAYS!$E$3,HOLIDAYS!$E$2,INDEX('TIME REPORT'!$A:$A,IFERROR(_xlfn.AGGREGATE(15,6,ROW('TIME REPORT'!$Q$6:$Q$98)/('TIME REPORT'!$Q$6:$Q$98=$T$3),ROW()-5),""))))&gt;0)),INDEX('TIME REPORT'!$N:$N,IFERROR(_xlfn.AGGREGATE(15,6,ROW('TIME REPORT'!$Q$6:$Q$98)/('TIME REPORT'!$Q$6:$Q$98=$T$3),ROW()-5),""))*60+INDEX('TIME REPORT'!$P:$P,IFERROR(_xlfn.AGGREGATE(15,6,ROW('TIME REPORT'!$Q$6:$Q$98)/('TIME REPORT'!$Q$6:$Q$98=$T$3),ROW()-5),"")),MAX(0,INDEX('TIME REPORT'!$N:$N,IFERROR(_xlfn.AGGREGATE(15,6,ROW('TIME REPORT'!$Q$6:$Q$98)/('TIME REPORT'!$Q$6:$Q$98=$T$3),ROW()-5),""))*60+INDEX('TIME REPORT'!$P:$P,IFERROR(_xlfn.AGGREGATE(15,6,ROW('TIME REPORT'!$Q$6:$Q$98)/('TIME REPORT'!$Q$6:$Q$98=$T$3),ROW()-5),""))-$T$1*60))),60))</f>
        <v/>
      </c>
      <c r="Q32" s="101" t="str" cm="1">
        <f t="array" ref="Q32">IF(IFERROR(_xlfn.AGGREGATE(15,6,ROW('TIME REPORT'!$Q$6:$Q$98)/('TIME REPORT'!$Q$6:$Q$98=$T$3),ROW()-5),"")="","",$T$3)</f>
        <v/>
      </c>
      <c r="R32" s="77"/>
      <c r="S32" s="77"/>
      <c r="T32" s="77"/>
      <c r="U32"/>
      <c r="V32"/>
      <c r="W32"/>
      <c r="Y32"/>
      <c r="Z32"/>
      <c r="AA32"/>
      <c r="AB32"/>
      <c r="AC32"/>
      <c r="AD32"/>
      <c r="AE32"/>
    </row>
    <row r="33" spans="1:31" ht="25.05" customHeight="1">
      <c r="A33" s="69"/>
      <c r="B33" s="70"/>
      <c r="C33" s="71"/>
      <c r="D33" s="71"/>
      <c r="E33" s="72"/>
      <c r="F33" s="72"/>
      <c r="G33" s="72"/>
      <c r="H33" s="73" t="s">
        <v>47</v>
      </c>
      <c r="I33" s="72"/>
      <c r="J33" s="72"/>
      <c r="K33" s="72"/>
      <c r="L33" s="72"/>
      <c r="M33" s="74"/>
      <c r="N33" s="128">
        <f>SUM(N6:N32)+INT(SUM(P6:P32)/60)</f>
        <v>0</v>
      </c>
      <c r="O33" s="129"/>
      <c r="P33" s="97">
        <f>MOD(SUM(P6:P32),60)</f>
        <v>0</v>
      </c>
      <c r="Q33" s="76"/>
      <c r="R33" s="77"/>
      <c r="S33" s="77"/>
      <c r="T33" s="77"/>
      <c r="U33"/>
      <c r="V33"/>
      <c r="W33"/>
      <c r="Y33"/>
      <c r="Z33"/>
      <c r="AA33"/>
      <c r="AB33"/>
      <c r="AC33"/>
      <c r="AD33"/>
      <c r="AE33"/>
    </row>
    <row r="34" spans="1:31" ht="25.05" customHeight="1">
      <c r="N34" s="127"/>
      <c r="O34" s="127"/>
      <c r="P34" s="18"/>
      <c r="U34" s="19"/>
      <c r="V34" s="20"/>
      <c r="W34" s="19"/>
    </row>
  </sheetData>
  <sheetProtection sheet="1" objects="1" scenarios="1" formatCells="0" formatColumns="0" formatRows="0" autoFilter="0"/>
  <mergeCells count="126">
    <mergeCell ref="D1:L1"/>
    <mergeCell ref="M1:N1"/>
    <mergeCell ref="O1:P1"/>
    <mergeCell ref="B2:C2"/>
    <mergeCell ref="E2:F2"/>
    <mergeCell ref="I2:L2"/>
    <mergeCell ref="M2:N2"/>
    <mergeCell ref="O2:P2"/>
    <mergeCell ref="C6:D6"/>
    <mergeCell ref="E6:G6"/>
    <mergeCell ref="N6:O6"/>
    <mergeCell ref="C7:D7"/>
    <mergeCell ref="E7:G7"/>
    <mergeCell ref="N7:O7"/>
    <mergeCell ref="A3:P3"/>
    <mergeCell ref="A4:A5"/>
    <mergeCell ref="B4:D4"/>
    <mergeCell ref="E4:G5"/>
    <mergeCell ref="H4:M5"/>
    <mergeCell ref="N4:P4"/>
    <mergeCell ref="C5:D5"/>
    <mergeCell ref="N5:O5"/>
    <mergeCell ref="I6:M6"/>
    <mergeCell ref="I7:M7"/>
    <mergeCell ref="C10:D10"/>
    <mergeCell ref="E10:G10"/>
    <mergeCell ref="N10:O10"/>
    <mergeCell ref="C11:D11"/>
    <mergeCell ref="E11:G11"/>
    <mergeCell ref="N11:O11"/>
    <mergeCell ref="C8:D8"/>
    <mergeCell ref="E8:G8"/>
    <mergeCell ref="N8:O8"/>
    <mergeCell ref="C9:D9"/>
    <mergeCell ref="E9:G9"/>
    <mergeCell ref="N9:O9"/>
    <mergeCell ref="I8:M8"/>
    <mergeCell ref="I9:M9"/>
    <mergeCell ref="I10:M10"/>
    <mergeCell ref="I11:M11"/>
    <mergeCell ref="C14:D14"/>
    <mergeCell ref="E14:G14"/>
    <mergeCell ref="N14:O14"/>
    <mergeCell ref="C15:D15"/>
    <mergeCell ref="E15:G15"/>
    <mergeCell ref="N15:O15"/>
    <mergeCell ref="C12:D12"/>
    <mergeCell ref="E12:G12"/>
    <mergeCell ref="N12:O12"/>
    <mergeCell ref="C13:D13"/>
    <mergeCell ref="E13:G13"/>
    <mergeCell ref="N13:O13"/>
    <mergeCell ref="I12:M12"/>
    <mergeCell ref="I13:M13"/>
    <mergeCell ref="I14:M14"/>
    <mergeCell ref="I15:M15"/>
    <mergeCell ref="C18:D18"/>
    <mergeCell ref="E18:G18"/>
    <mergeCell ref="N18:O18"/>
    <mergeCell ref="C19:D19"/>
    <mergeCell ref="E19:G19"/>
    <mergeCell ref="N19:O19"/>
    <mergeCell ref="C16:D16"/>
    <mergeCell ref="E16:G16"/>
    <mergeCell ref="N16:O16"/>
    <mergeCell ref="C17:D17"/>
    <mergeCell ref="E17:G17"/>
    <mergeCell ref="N17:O17"/>
    <mergeCell ref="I16:M16"/>
    <mergeCell ref="I17:M17"/>
    <mergeCell ref="I18:M18"/>
    <mergeCell ref="I19:M19"/>
    <mergeCell ref="C22:D22"/>
    <mergeCell ref="E22:G22"/>
    <mergeCell ref="N22:O22"/>
    <mergeCell ref="C23:D23"/>
    <mergeCell ref="E23:G23"/>
    <mergeCell ref="N23:O23"/>
    <mergeCell ref="C20:D20"/>
    <mergeCell ref="E20:G20"/>
    <mergeCell ref="N20:O20"/>
    <mergeCell ref="C21:D21"/>
    <mergeCell ref="E21:G21"/>
    <mergeCell ref="N21:O21"/>
    <mergeCell ref="I20:M20"/>
    <mergeCell ref="I21:M21"/>
    <mergeCell ref="I22:M22"/>
    <mergeCell ref="I23:M23"/>
    <mergeCell ref="C26:D26"/>
    <mergeCell ref="E26:G26"/>
    <mergeCell ref="N26:O26"/>
    <mergeCell ref="C27:D27"/>
    <mergeCell ref="E27:G27"/>
    <mergeCell ref="N27:O27"/>
    <mergeCell ref="C24:D24"/>
    <mergeCell ref="E24:G24"/>
    <mergeCell ref="N24:O24"/>
    <mergeCell ref="C25:D25"/>
    <mergeCell ref="E25:G25"/>
    <mergeCell ref="N25:O25"/>
    <mergeCell ref="I24:M24"/>
    <mergeCell ref="I25:M25"/>
    <mergeCell ref="I26:M26"/>
    <mergeCell ref="I27:M27"/>
    <mergeCell ref="C30:D30"/>
    <mergeCell ref="E30:G30"/>
    <mergeCell ref="N30:O30"/>
    <mergeCell ref="C31:D31"/>
    <mergeCell ref="E31:G31"/>
    <mergeCell ref="N31:O31"/>
    <mergeCell ref="C28:D28"/>
    <mergeCell ref="E28:G28"/>
    <mergeCell ref="N28:O28"/>
    <mergeCell ref="C29:D29"/>
    <mergeCell ref="E29:G29"/>
    <mergeCell ref="N29:O29"/>
    <mergeCell ref="I28:M28"/>
    <mergeCell ref="I29:M29"/>
    <mergeCell ref="I30:M30"/>
    <mergeCell ref="I31:M31"/>
    <mergeCell ref="C32:D32"/>
    <mergeCell ref="E32:G32"/>
    <mergeCell ref="N32:O32"/>
    <mergeCell ref="I32:M32"/>
    <mergeCell ref="N34:O34"/>
    <mergeCell ref="N33:O33"/>
  </mergeCells>
  <conditionalFormatting sqref="A6:G32 N6:Q32">
    <cfRule type="expression" dxfId="2" priority="7">
      <formula>ISNUMBER(SEARCH("หยุด",$E6))</formula>
    </cfRule>
  </conditionalFormatting>
  <dataValidations count="3">
    <dataValidation type="list" allowBlank="1" showInputMessage="1" showErrorMessage="1" errorTitle="ค่าไม่ถูกต้อง" error="เลือกได้เฉพาะ O.T. หรือ Extra Hours" promptTitle="ประเภทชั่วโมงส่วนเกิน" prompt="เลือก O.T. หรือ Extra Hours สำหรับชั่วโมงที่เกิน 8 ชม./วัน (เว้นว่างถ้าไม่มี)" sqref="Q6:Q32" xr:uid="{0255D22A-1BB9-4981-8830-BB0ABDD995B6}">
      <formula1>"O.T.,Extra Hours"</formula1>
    </dataValidation>
    <dataValidation type="list" allowBlank="1" showInputMessage="1" showErrorMessage="1" sqref="E8:E12 E18:E19 E22:E27 E15:E16 E30:E32" xr:uid="{22F9B33D-B610-485F-AE2E-2758360949D4}">
      <formula1>$W$3:$W$32</formula1>
    </dataValidation>
    <dataValidation type="list" allowBlank="1" showInputMessage="1" showErrorMessage="1" sqref="AMO22:AMO27 AMO30:AMO34 ACS30:ACS34 SW30:SW34 JA30:JA34 WVM30:WVM34 WLQ30:WLQ34 WBU30:WBU34 VRY30:VRY34 VIC30:VIC34 UYG30:UYG34 UOK30:UOK34 UEO30:UEO34 TUS30:TUS34 TKW30:TKW34 TBA30:TBA34 SRE30:SRE34 SHI30:SHI34 RXM30:RXM34 RNQ30:RNQ34 RDU30:RDU34 QTY30:QTY34 QKC30:QKC34 QAG30:QAG34 PQK30:PQK34 PGO30:PGO34 OWS30:OWS34 OMW30:OMW34 ODA30:ODA34 NTE30:NTE34 NJI30:NJI34 MZM30:MZM34 MPQ30:MPQ34 MFU30:MFU34 LVY30:LVY34 LMC30:LMC34 LCG30:LCG34 KSK30:KSK34 KIO30:KIO34 JYS30:JYS34 JOW30:JOW34 JFA30:JFA34 IVE30:IVE34 ILI30:ILI34 IBM30:IBM34 HRQ30:HRQ34 HHU30:HHU34 GXY30:GXY34 GOC30:GOC34 GEG30:GEG34 FUK30:FUK34 FKO30:FKO34 FAS30:FAS34 EQW30:EQW34 EHA30:EHA34 DXE30:DXE34 DNI30:DNI34 DDM30:DDM34 CTQ30:CTQ34 CJU30:CJU34 BZY30:BZY34 BQC30:BQC34 BGG30:BGG34 AWK30:AWK34 ACS15:ACS16 SW15:SW16 AMO15:AMO16 AWK15:AWK16 BGG15:BGG16 BQC15:BQC16 BZY15:BZY16 CJU15:CJU16 CTQ15:CTQ16 DDM15:DDM16 DNI15:DNI16 DXE15:DXE16 EHA15:EHA16 EQW15:EQW16 FAS15:FAS16 FKO15:FKO16 FUK15:FUK16 GEG15:GEG16 GOC15:GOC16 GXY15:GXY16 HHU15:HHU16 HRQ15:HRQ16 IBM15:IBM16 ILI15:ILI16 IVE15:IVE16 JFA15:JFA16 JOW15:JOW16 JYS15:JYS16 KIO15:KIO16 KSK15:KSK16 LCG15:LCG16 LMC15:LMC16 LVY15:LVY16 MFU15:MFU16 MPQ15:MPQ16 MZM15:MZM16 NJI15:NJI16 NTE15:NTE16 ODA15:ODA16 OMW15:OMW16 OWS15:OWS16 PGO15:PGO16 PQK15:PQK16 QAG15:QAG16 QKC15:QKC16 QTY15:QTY16 RDU15:RDU16 RNQ15:RNQ16 RXM15:RXM16 SHI15:SHI16 SRE15:SRE16 TBA15:TBA16 TKW15:TKW16 TUS15:TUS16 UEO15:UEO16 UOK15:UOK16 UYG15:UYG16 VIC15:VIC16 VRY15:VRY16 WBU15:WBU16 WLQ15:WLQ16 WVM15:WVM16 JA15:JA16 ACS8:ACS12 JA8:JA12 WVM8:WVM12 WLQ8:WLQ12 WBU8:WBU12 VRY8:VRY12 VIC8:VIC12 UYG8:UYG12 UOK8:UOK12 UEO8:UEO12 TUS8:TUS12 TKW8:TKW12 TBA8:TBA12 SRE8:SRE12 SHI8:SHI12 RXM8:RXM12 RNQ8:RNQ12 RDU8:RDU12 QTY8:QTY12 QKC8:QKC12 QAG8:QAG12 PQK8:PQK12 PGO8:PGO12 OWS8:OWS12 OMW8:OMW12 ODA8:ODA12 NTE8:NTE12 NJI8:NJI12 MZM8:MZM12 MPQ8:MPQ12 MFU8:MFU12 LVY8:LVY12 LMC8:LMC12 LCG8:LCG12 KSK8:KSK12 KIO8:KIO12 JYS8:JYS12 JOW8:JOW12 JFA8:JFA12 IVE8:IVE12 ILI8:ILI12 IBM8:IBM12 HRQ8:HRQ12 HHU8:HHU12 GXY8:GXY12 GOC8:GOC12 GEG8:GEG12 FUK8:FUK12 FKO8:FKO12 FAS8:FAS12 EQW8:EQW12 EHA8:EHA12 DXE8:DXE12 DNI8:DNI12 DDM8:DDM12 CTQ8:CTQ12 CJU8:CJU12 BZY8:BZY12 BQC8:BQC12 BGG8:BGG12 AWK8:AWK12 AMO8:AMO12 SW8:SW12 ACS18:ACS19 JA18:JA19 WVM18:WVM19 WLQ18:WLQ19 WBU18:WBU19 VRY18:VRY19 VIC18:VIC19 UYG18:UYG19 UOK18:UOK19 UEO18:UEO19 TUS18:TUS19 TKW18:TKW19 TBA18:TBA19 SRE18:SRE19 SHI18:SHI19 RXM18:RXM19 RNQ18:RNQ19 RDU18:RDU19 QTY18:QTY19 QKC18:QKC19 QAG18:QAG19 PQK18:PQK19 PGO18:PGO19 OWS18:OWS19 OMW18:OMW19 ODA18:ODA19 NTE18:NTE19 NJI18:NJI19 MZM18:MZM19 MPQ18:MPQ19 MFU18:MFU19 LVY18:LVY19 LMC18:LMC19 LCG18:LCG19 KSK18:KSK19 KIO18:KIO19 JYS18:JYS19 JOW18:JOW19 JFA18:JFA19 IVE18:IVE19 ILI18:ILI19 IBM18:IBM19 HRQ18:HRQ19 HHU18:HHU19 GXY18:GXY19 GOC18:GOC19 GEG18:GEG19 FUK18:FUK19 FKO18:FKO19 FAS18:FAS19 EQW18:EQW19 EHA18:EHA19 DXE18:DXE19 DNI18:DNI19 DDM18:DDM19 CTQ18:CTQ19 CJU18:CJU19 BZY18:BZY19 BQC18:BQC19 BGG18:BGG19 AWK18:AWK19 AMO18:AMO19 SW18:SW19 ACS22:ACS27 SW22:SW27 JA22:JA27 WVM22:WVM27 WLQ22:WLQ27 WBU22:WBU27 VRY22:VRY27 VIC22:VIC27 UYG22:UYG27 UOK22:UOK27 UEO22:UEO27 TUS22:TUS27 TKW22:TKW27 TBA22:TBA27 SRE22:SRE27 SHI22:SHI27 RXM22:RXM27 RNQ22:RNQ27 RDU22:RDU27 QTY22:QTY27 QKC22:QKC27 QAG22:QAG27 PQK22:PQK27 PGO22:PGO27 OWS22:OWS27 OMW22:OMW27 ODA22:ODA27 NTE22:NTE27 NJI22:NJI27 MZM22:MZM27 MPQ22:MPQ27 MFU22:MFU27 LVY22:LVY27 LMC22:LMC27 LCG22:LCG27 KSK22:KSK27 KIO22:KIO27 JYS22:JYS27 JOW22:JOW27 JFA22:JFA27 IVE22:IVE27 ILI22:ILI27 IBM22:IBM27 HRQ22:HRQ27 HHU22:HHU27 GXY22:GXY27 GOC22:GOC27 GEG22:GEG27 FUK22:FUK27 FKO22:FKO27 FAS22:FAS27 EQW22:EQW27 EHA22:EHA27 DXE22:DXE27 DNI22:DNI27 DDM22:DDM27 CTQ22:CTQ27 CJU22:CJU27 BZY22:BZY27 BQC22:BQC27 BGG22:BGG27 AWK22:AWK27" xr:uid="{4D753649-CA31-4F28-A8AE-6A5348912E2A}">
      <formula1>$W$3:$W$34</formula1>
    </dataValidation>
  </dataValidations>
  <pageMargins left="0.39370078740157483" right="0.19685039370078741" top="0.39370078740157483" bottom="0.39370078740157483" header="0.39370078740157483" footer="0.39370078740157483"/>
  <pageSetup paperSize="9" scale="82" orientation="portrait" r:id="rId1"/>
  <headerFooter alignWithMargins="0"/>
  <legacyDrawing r:id="rId2"/>
  <extLst>
    <ext xmlns:x14="http://schemas.microsoft.com/office/spreadsheetml/2009/9/main" uri="{78C0D931-6437-407d-A8EE-F0AAD7539E65}">
      <x14:conditionalFormattings>
        <x14:conditionalFormatting xmlns:xm="http://schemas.microsoft.com/office/excel/2006/main">
          <x14:cfRule type="expression" priority="22" stopIfTrue="1" id="{318AF6F3-BE66-4CD3-99E7-40B60427CD0B}">
            <xm:f>AND(AND(ISNUMBER($A6),$A6&gt;=1,$A6&lt;=DAY(EOMONTH(DATE(HOLIDAYS!$E$3,HOLIDAYS!$E$2,1),0))),WEEKDAY(DATE(HOLIDAYS!$E$3,HOLIDAYS!$E$2,$A6),2)&gt;5)</xm:f>
            <x14:dxf>
              <fill>
                <patternFill patternType="solid">
                  <fgColor indexed="64"/>
                  <bgColor rgb="FFFFF2CC"/>
                </patternFill>
              </fill>
            </x14:dxf>
          </x14:cfRule>
          <x14:cfRule type="expression" priority="23" stopIfTrue="1" id="{7AACA966-912F-4A38-A860-00BA60DD1FE0}">
            <xm:f>AND(AND(ISNUMBER($A6),$A6&gt;=1,$A6&lt;=DAY(EOMONTH(DATE(HOLIDAYS!$E$3,HOLIDAYS!$E$2,1),0))),COUNTIF(HOLIDAYS!$A$5:$A$199,DATE(HOLIDAYS!$E$3,HOLIDAYS!$E$2,$A6))&gt;0)</xm:f>
            <x14:dxf>
              <fill>
                <patternFill patternType="solid">
                  <fgColor indexed="64"/>
                  <bgColor rgb="FFC6EFCE"/>
                </patternFill>
              </fill>
            </x14:dxf>
          </x14:cfRule>
          <xm:sqref>A6:I32 N6:Q32</xm:sqref>
        </x14:conditionalFormatting>
      </x14:conditionalFormattings>
    </ext>
    <ext xmlns:x14="http://schemas.microsoft.com/office/spreadsheetml/2009/9/main" uri="{CCE6A557-97BC-4b89-ADB6-D9C93CAAB3DF}">
      <x14:dataValidations xmlns:xm="http://schemas.microsoft.com/office/excel/2006/main" count="1">
        <x14:dataValidation type="list" errorStyle="information" allowBlank="1" showInputMessage="1" showErrorMessage="1" errorTitle="Service Rendered / Period" error="เลือก Period จากรายการ หรือพิมพ์รายละเอียดงานเองได้" xr:uid="{AD9F901C-A68C-49AF-8D36-7DE514273716}">
          <x14:formula1>
            <xm:f>HOLIDAYS!$I$3:$I$20</xm:f>
          </x14:formula1>
          <xm:sqref>H6:H32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703BE-3590-4465-8678-B09B7FF2145A}">
  <dimension ref="A1:I211"/>
  <sheetViews>
    <sheetView zoomScale="70" zoomScaleNormal="70" workbookViewId="0">
      <selection activeCell="G30" sqref="G30"/>
    </sheetView>
  </sheetViews>
  <sheetFormatPr defaultRowHeight="14.4"/>
  <cols>
    <col min="1" max="1" width="20.33203125" customWidth="1"/>
    <col min="2" max="2" width="42.5546875" customWidth="1"/>
    <col min="3" max="3" width="40.77734375" customWidth="1"/>
    <col min="4" max="4" width="24.109375" customWidth="1"/>
    <col min="7" max="9" width="25.88671875" customWidth="1"/>
  </cols>
  <sheetData>
    <row r="1" spans="1:9" ht="17.399999999999999">
      <c r="A1" s="7" t="s">
        <v>63</v>
      </c>
    </row>
    <row r="2" spans="1:9">
      <c r="D2" t="s">
        <v>64</v>
      </c>
      <c r="E2">
        <f>MATCH('TIME SHEET'!$C$3,$G$3:$G$14,0)</f>
        <v>12</v>
      </c>
      <c r="G2" s="8" t="s">
        <v>9</v>
      </c>
      <c r="H2" s="8" t="s">
        <v>10</v>
      </c>
      <c r="I2" s="8" t="s">
        <v>11</v>
      </c>
    </row>
    <row r="3" spans="1:9">
      <c r="D3" t="s">
        <v>65</v>
      </c>
      <c r="E3">
        <f>'TIME SHEET'!$F$3-543</f>
        <v>2026</v>
      </c>
      <c r="G3" t="s">
        <v>12</v>
      </c>
      <c r="H3" t="s">
        <v>95</v>
      </c>
      <c r="I3" t="s">
        <v>50</v>
      </c>
    </row>
    <row r="4" spans="1:9">
      <c r="A4" s="8" t="s">
        <v>66</v>
      </c>
      <c r="B4" s="8" t="s">
        <v>67</v>
      </c>
      <c r="C4" s="8" t="s">
        <v>68</v>
      </c>
      <c r="G4" t="s">
        <v>3</v>
      </c>
      <c r="H4" t="s">
        <v>13</v>
      </c>
      <c r="I4" t="s">
        <v>49</v>
      </c>
    </row>
    <row r="5" spans="1:9">
      <c r="A5" s="9">
        <f>DATE(2026,1,1)</f>
        <v>46023</v>
      </c>
      <c r="B5" s="10" t="s">
        <v>69</v>
      </c>
      <c r="C5" s="10"/>
      <c r="G5" t="s">
        <v>14</v>
      </c>
      <c r="H5" t="s">
        <v>15</v>
      </c>
      <c r="I5" t="s">
        <v>93</v>
      </c>
    </row>
    <row r="6" spans="1:9">
      <c r="A6" s="9">
        <f>DATE(2026,1,2)</f>
        <v>46024</v>
      </c>
      <c r="B6" s="10" t="s">
        <v>70</v>
      </c>
      <c r="C6" s="10"/>
      <c r="G6" t="s">
        <v>16</v>
      </c>
      <c r="H6" t="s">
        <v>18</v>
      </c>
      <c r="I6" t="s">
        <v>51</v>
      </c>
    </row>
    <row r="7" spans="1:9">
      <c r="A7" s="9">
        <f>DATE(2026,3,3)</f>
        <v>46084</v>
      </c>
      <c r="B7" s="10" t="s">
        <v>71</v>
      </c>
      <c r="C7" s="10"/>
      <c r="G7" t="s">
        <v>17</v>
      </c>
      <c r="H7" t="s">
        <v>94</v>
      </c>
      <c r="I7" t="s">
        <v>52</v>
      </c>
    </row>
    <row r="8" spans="1:9">
      <c r="A8" s="9">
        <f>DATE(2026,4,6)</f>
        <v>46118</v>
      </c>
      <c r="B8" s="10" t="s">
        <v>72</v>
      </c>
      <c r="C8" s="10"/>
      <c r="G8" t="s">
        <v>19</v>
      </c>
      <c r="H8" t="s">
        <v>20</v>
      </c>
    </row>
    <row r="9" spans="1:9">
      <c r="A9" s="9">
        <f>DATE(2026,4,13)</f>
        <v>46125</v>
      </c>
      <c r="B9" s="10" t="s">
        <v>73</v>
      </c>
      <c r="C9" s="10"/>
      <c r="G9" t="s">
        <v>21</v>
      </c>
      <c r="H9" t="s">
        <v>53</v>
      </c>
    </row>
    <row r="10" spans="1:9">
      <c r="A10" s="9">
        <f>DATE(2026,4,14)</f>
        <v>46126</v>
      </c>
      <c r="B10" s="10" t="s">
        <v>73</v>
      </c>
      <c r="C10" s="10"/>
      <c r="G10" t="s">
        <v>22</v>
      </c>
      <c r="H10" t="s">
        <v>54</v>
      </c>
    </row>
    <row r="11" spans="1:9">
      <c r="A11" s="9">
        <f>DATE(2026,4,15)</f>
        <v>46127</v>
      </c>
      <c r="B11" s="10" t="s">
        <v>73</v>
      </c>
      <c r="C11" s="10"/>
      <c r="G11" t="s">
        <v>23</v>
      </c>
      <c r="H11" t="s">
        <v>55</v>
      </c>
    </row>
    <row r="12" spans="1:9">
      <c r="A12" s="9">
        <f>DATE(2026,5,1)</f>
        <v>46143</v>
      </c>
      <c r="B12" s="10" t="s">
        <v>74</v>
      </c>
      <c r="C12" s="10"/>
      <c r="G12" t="s">
        <v>24</v>
      </c>
      <c r="H12" t="s">
        <v>98</v>
      </c>
    </row>
    <row r="13" spans="1:9">
      <c r="A13" s="9">
        <f>DATE(2026,5,4)</f>
        <v>46146</v>
      </c>
      <c r="B13" s="10" t="s">
        <v>75</v>
      </c>
      <c r="C13" s="10"/>
      <c r="G13" t="s">
        <v>25</v>
      </c>
      <c r="H13" t="s">
        <v>99</v>
      </c>
    </row>
    <row r="14" spans="1:9">
      <c r="A14" s="9">
        <f>DATE(2026,5,31)</f>
        <v>46173</v>
      </c>
      <c r="B14" s="10" t="s">
        <v>76</v>
      </c>
      <c r="C14" s="10" t="s">
        <v>77</v>
      </c>
      <c r="G14" t="s">
        <v>26</v>
      </c>
      <c r="H14" t="s">
        <v>100</v>
      </c>
    </row>
    <row r="15" spans="1:9">
      <c r="A15" s="9">
        <f>DATE(2026,6,1)</f>
        <v>46174</v>
      </c>
      <c r="B15" s="10" t="s">
        <v>78</v>
      </c>
      <c r="C15" s="10"/>
      <c r="H15" t="s">
        <v>101</v>
      </c>
    </row>
    <row r="16" spans="1:9">
      <c r="A16" s="9">
        <f>DATE(2026,6,3)</f>
        <v>46176</v>
      </c>
      <c r="B16" s="10" t="s">
        <v>79</v>
      </c>
      <c r="C16" s="10"/>
      <c r="H16" t="s">
        <v>102</v>
      </c>
    </row>
    <row r="17" spans="1:8">
      <c r="A17" s="9">
        <f>DATE(2026,7,28)</f>
        <v>46231</v>
      </c>
      <c r="B17" s="10" t="s">
        <v>80</v>
      </c>
      <c r="C17" s="10"/>
      <c r="H17" t="s">
        <v>103</v>
      </c>
    </row>
    <row r="18" spans="1:8">
      <c r="A18" s="9">
        <f>DATE(2026,7,29)</f>
        <v>46232</v>
      </c>
      <c r="B18" s="10" t="s">
        <v>81</v>
      </c>
      <c r="C18" s="10"/>
      <c r="H18" t="s">
        <v>104</v>
      </c>
    </row>
    <row r="19" spans="1:8">
      <c r="A19" s="9">
        <f>DATE(2026,7,30)</f>
        <v>46233</v>
      </c>
      <c r="B19" s="10" t="s">
        <v>82</v>
      </c>
      <c r="C19" s="10"/>
      <c r="H19" t="s">
        <v>105</v>
      </c>
    </row>
    <row r="20" spans="1:8">
      <c r="A20" s="9">
        <f>DATE(2026,8,12)</f>
        <v>46246</v>
      </c>
      <c r="B20" s="10" t="s">
        <v>83</v>
      </c>
      <c r="C20" s="10"/>
      <c r="H20" t="s">
        <v>106</v>
      </c>
    </row>
    <row r="21" spans="1:8">
      <c r="A21" s="9">
        <f>DATE(2026,10,13)</f>
        <v>46308</v>
      </c>
      <c r="B21" s="10" t="s">
        <v>84</v>
      </c>
      <c r="C21" s="10"/>
      <c r="H21" t="s">
        <v>107</v>
      </c>
    </row>
    <row r="22" spans="1:8">
      <c r="A22" s="9">
        <f>DATE(2026,10,23)</f>
        <v>46318</v>
      </c>
      <c r="B22" s="10" t="s">
        <v>85</v>
      </c>
      <c r="C22" s="10"/>
      <c r="H22" t="s">
        <v>108</v>
      </c>
    </row>
    <row r="23" spans="1:8">
      <c r="A23" s="9">
        <f>DATE(2026,12,5)</f>
        <v>46361</v>
      </c>
      <c r="B23" s="10" t="s">
        <v>86</v>
      </c>
      <c r="C23" s="10" t="s">
        <v>87</v>
      </c>
      <c r="H23" t="s">
        <v>109</v>
      </c>
    </row>
    <row r="24" spans="1:8">
      <c r="A24" s="9">
        <f>DATE(2026,12,7)</f>
        <v>46363</v>
      </c>
      <c r="B24" s="10" t="s">
        <v>88</v>
      </c>
      <c r="C24" s="10"/>
      <c r="H24" t="s">
        <v>110</v>
      </c>
    </row>
    <row r="25" spans="1:8">
      <c r="A25" s="9">
        <f>DATE(2026,12,10)</f>
        <v>46366</v>
      </c>
      <c r="B25" s="10" t="s">
        <v>89</v>
      </c>
      <c r="C25" s="10"/>
      <c r="H25" t="s">
        <v>111</v>
      </c>
    </row>
    <row r="26" spans="1:8">
      <c r="A26" s="9">
        <f>DATE(2026,12,31)</f>
        <v>46387</v>
      </c>
      <c r="B26" s="10" t="s">
        <v>90</v>
      </c>
      <c r="C26" s="10"/>
      <c r="H26" t="s">
        <v>112</v>
      </c>
    </row>
    <row r="27" spans="1:8">
      <c r="H27" t="s">
        <v>113</v>
      </c>
    </row>
    <row r="28" spans="1:8">
      <c r="A28" s="11" t="s">
        <v>91</v>
      </c>
      <c r="H28" t="s">
        <v>114</v>
      </c>
    </row>
    <row r="29" spans="1:8">
      <c r="H29" t="s">
        <v>115</v>
      </c>
    </row>
    <row r="30" spans="1:8">
      <c r="H30" t="s">
        <v>116</v>
      </c>
    </row>
    <row r="31" spans="1:8">
      <c r="H31" t="s">
        <v>117</v>
      </c>
    </row>
    <row r="32" spans="1:8">
      <c r="H32" t="s">
        <v>118</v>
      </c>
    </row>
    <row r="33" spans="8:8">
      <c r="H33" t="s">
        <v>119</v>
      </c>
    </row>
    <row r="34" spans="8:8">
      <c r="H34" t="s">
        <v>120</v>
      </c>
    </row>
    <row r="35" spans="8:8">
      <c r="H35" t="s">
        <v>121</v>
      </c>
    </row>
    <row r="36" spans="8:8">
      <c r="H36" t="s">
        <v>122</v>
      </c>
    </row>
    <row r="37" spans="8:8">
      <c r="H37" t="s">
        <v>123</v>
      </c>
    </row>
    <row r="38" spans="8:8">
      <c r="H38" t="s">
        <v>124</v>
      </c>
    </row>
    <row r="39" spans="8:8">
      <c r="H39" t="s">
        <v>125</v>
      </c>
    </row>
    <row r="40" spans="8:8">
      <c r="H40" t="s">
        <v>126</v>
      </c>
    </row>
    <row r="41" spans="8:8">
      <c r="H41" t="s">
        <v>127</v>
      </c>
    </row>
    <row r="42" spans="8:8">
      <c r="H42" t="s">
        <v>128</v>
      </c>
    </row>
    <row r="43" spans="8:8">
      <c r="H43" t="s">
        <v>129</v>
      </c>
    </row>
    <row r="44" spans="8:8">
      <c r="H44" t="s">
        <v>130</v>
      </c>
    </row>
    <row r="45" spans="8:8">
      <c r="H45" t="s">
        <v>131</v>
      </c>
    </row>
    <row r="46" spans="8:8">
      <c r="H46" t="s">
        <v>132</v>
      </c>
    </row>
    <row r="47" spans="8:8">
      <c r="H47" t="s">
        <v>133</v>
      </c>
    </row>
    <row r="48" spans="8:8">
      <c r="H48" t="s">
        <v>134</v>
      </c>
    </row>
    <row r="49" spans="8:8">
      <c r="H49" t="s">
        <v>135</v>
      </c>
    </row>
    <row r="50" spans="8:8">
      <c r="H50" t="s">
        <v>136</v>
      </c>
    </row>
    <row r="51" spans="8:8">
      <c r="H51" t="s">
        <v>137</v>
      </c>
    </row>
    <row r="52" spans="8:8">
      <c r="H52" t="s">
        <v>138</v>
      </c>
    </row>
    <row r="53" spans="8:8">
      <c r="H53" t="s">
        <v>139</v>
      </c>
    </row>
    <row r="54" spans="8:8">
      <c r="H54" t="s">
        <v>140</v>
      </c>
    </row>
    <row r="55" spans="8:8">
      <c r="H55" t="s">
        <v>141</v>
      </c>
    </row>
    <row r="56" spans="8:8">
      <c r="H56" t="s">
        <v>142</v>
      </c>
    </row>
    <row r="57" spans="8:8">
      <c r="H57" t="s">
        <v>143</v>
      </c>
    </row>
    <row r="58" spans="8:8">
      <c r="H58" t="s">
        <v>144</v>
      </c>
    </row>
    <row r="59" spans="8:8">
      <c r="H59" t="s">
        <v>145</v>
      </c>
    </row>
    <row r="60" spans="8:8">
      <c r="H60" t="s">
        <v>146</v>
      </c>
    </row>
    <row r="61" spans="8:8">
      <c r="H61" t="s">
        <v>147</v>
      </c>
    </row>
    <row r="62" spans="8:8">
      <c r="H62" t="s">
        <v>148</v>
      </c>
    </row>
    <row r="63" spans="8:8">
      <c r="H63" t="s">
        <v>149</v>
      </c>
    </row>
    <row r="64" spans="8:8">
      <c r="H64" t="s">
        <v>150</v>
      </c>
    </row>
    <row r="65" spans="8:8">
      <c r="H65" t="s">
        <v>151</v>
      </c>
    </row>
    <row r="66" spans="8:8">
      <c r="H66" t="s">
        <v>152</v>
      </c>
    </row>
    <row r="67" spans="8:8">
      <c r="H67" t="s">
        <v>153</v>
      </c>
    </row>
    <row r="68" spans="8:8">
      <c r="H68" t="s">
        <v>154</v>
      </c>
    </row>
    <row r="69" spans="8:8">
      <c r="H69" t="s">
        <v>155</v>
      </c>
    </row>
    <row r="70" spans="8:8">
      <c r="H70" t="s">
        <v>156</v>
      </c>
    </row>
    <row r="71" spans="8:8">
      <c r="H71" t="s">
        <v>157</v>
      </c>
    </row>
    <row r="72" spans="8:8">
      <c r="H72" t="s">
        <v>158</v>
      </c>
    </row>
    <row r="73" spans="8:8">
      <c r="H73" t="s">
        <v>159</v>
      </c>
    </row>
    <row r="74" spans="8:8">
      <c r="H74" t="s">
        <v>160</v>
      </c>
    </row>
    <row r="75" spans="8:8">
      <c r="H75" t="s">
        <v>161</v>
      </c>
    </row>
    <row r="76" spans="8:8">
      <c r="H76" t="s">
        <v>162</v>
      </c>
    </row>
    <row r="77" spans="8:8">
      <c r="H77" t="s">
        <v>163</v>
      </c>
    </row>
    <row r="78" spans="8:8">
      <c r="H78" t="s">
        <v>164</v>
      </c>
    </row>
    <row r="79" spans="8:8">
      <c r="H79" t="s">
        <v>165</v>
      </c>
    </row>
    <row r="80" spans="8:8">
      <c r="H80" t="s">
        <v>166</v>
      </c>
    </row>
    <row r="81" spans="8:8">
      <c r="H81" t="s">
        <v>167</v>
      </c>
    </row>
    <row r="82" spans="8:8">
      <c r="H82" t="s">
        <v>168</v>
      </c>
    </row>
    <row r="83" spans="8:8">
      <c r="H83" t="s">
        <v>169</v>
      </c>
    </row>
    <row r="84" spans="8:8">
      <c r="H84" t="s">
        <v>170</v>
      </c>
    </row>
    <row r="85" spans="8:8">
      <c r="H85" t="s">
        <v>171</v>
      </c>
    </row>
    <row r="86" spans="8:8">
      <c r="H86" t="s">
        <v>172</v>
      </c>
    </row>
    <row r="87" spans="8:8">
      <c r="H87" t="s">
        <v>173</v>
      </c>
    </row>
    <row r="88" spans="8:8">
      <c r="H88" t="s">
        <v>174</v>
      </c>
    </row>
    <row r="89" spans="8:8">
      <c r="H89" t="s">
        <v>175</v>
      </c>
    </row>
    <row r="90" spans="8:8">
      <c r="H90" t="s">
        <v>176</v>
      </c>
    </row>
    <row r="91" spans="8:8">
      <c r="H91" t="s">
        <v>177</v>
      </c>
    </row>
    <row r="92" spans="8:8">
      <c r="H92" t="s">
        <v>178</v>
      </c>
    </row>
    <row r="93" spans="8:8">
      <c r="H93" t="s">
        <v>179</v>
      </c>
    </row>
    <row r="94" spans="8:8">
      <c r="H94" t="s">
        <v>180</v>
      </c>
    </row>
    <row r="95" spans="8:8">
      <c r="H95" t="s">
        <v>181</v>
      </c>
    </row>
    <row r="96" spans="8:8">
      <c r="H96" t="s">
        <v>182</v>
      </c>
    </row>
    <row r="97" spans="8:8">
      <c r="H97" t="s">
        <v>183</v>
      </c>
    </row>
    <row r="98" spans="8:8">
      <c r="H98" t="s">
        <v>184</v>
      </c>
    </row>
    <row r="99" spans="8:8">
      <c r="H99" t="s">
        <v>185</v>
      </c>
    </row>
    <row r="100" spans="8:8">
      <c r="H100" t="s">
        <v>186</v>
      </c>
    </row>
    <row r="101" spans="8:8">
      <c r="H101" t="s">
        <v>187</v>
      </c>
    </row>
    <row r="102" spans="8:8">
      <c r="H102" t="s">
        <v>188</v>
      </c>
    </row>
    <row r="103" spans="8:8">
      <c r="H103" t="s">
        <v>189</v>
      </c>
    </row>
    <row r="104" spans="8:8">
      <c r="H104" t="s">
        <v>190</v>
      </c>
    </row>
    <row r="105" spans="8:8">
      <c r="H105" t="s">
        <v>191</v>
      </c>
    </row>
    <row r="106" spans="8:8">
      <c r="H106" t="s">
        <v>192</v>
      </c>
    </row>
    <row r="107" spans="8:8">
      <c r="H107" t="s">
        <v>193</v>
      </c>
    </row>
    <row r="108" spans="8:8">
      <c r="H108" t="s">
        <v>194</v>
      </c>
    </row>
    <row r="109" spans="8:8">
      <c r="H109" t="s">
        <v>195</v>
      </c>
    </row>
    <row r="110" spans="8:8">
      <c r="H110" t="s">
        <v>196</v>
      </c>
    </row>
    <row r="111" spans="8:8">
      <c r="H111" t="s">
        <v>197</v>
      </c>
    </row>
    <row r="112" spans="8:8">
      <c r="H112" t="s">
        <v>198</v>
      </c>
    </row>
    <row r="113" spans="8:8">
      <c r="H113" t="s">
        <v>199</v>
      </c>
    </row>
    <row r="114" spans="8:8">
      <c r="H114" t="s">
        <v>200</v>
      </c>
    </row>
    <row r="115" spans="8:8">
      <c r="H115" t="s">
        <v>201</v>
      </c>
    </row>
    <row r="116" spans="8:8">
      <c r="H116" t="s">
        <v>202</v>
      </c>
    </row>
    <row r="117" spans="8:8">
      <c r="H117" t="s">
        <v>203</v>
      </c>
    </row>
    <row r="118" spans="8:8">
      <c r="H118" t="s">
        <v>204</v>
      </c>
    </row>
    <row r="119" spans="8:8">
      <c r="H119" t="s">
        <v>205</v>
      </c>
    </row>
    <row r="120" spans="8:8">
      <c r="H120" t="s">
        <v>206</v>
      </c>
    </row>
    <row r="121" spans="8:8">
      <c r="H121" t="s">
        <v>207</v>
      </c>
    </row>
    <row r="122" spans="8:8">
      <c r="H122" t="s">
        <v>208</v>
      </c>
    </row>
    <row r="123" spans="8:8">
      <c r="H123" t="s">
        <v>209</v>
      </c>
    </row>
    <row r="124" spans="8:8">
      <c r="H124" t="s">
        <v>210</v>
      </c>
    </row>
    <row r="125" spans="8:8">
      <c r="H125" t="s">
        <v>211</v>
      </c>
    </row>
    <row r="126" spans="8:8">
      <c r="H126" t="s">
        <v>212</v>
      </c>
    </row>
    <row r="127" spans="8:8">
      <c r="H127" t="s">
        <v>213</v>
      </c>
    </row>
    <row r="128" spans="8:8">
      <c r="H128" t="s">
        <v>214</v>
      </c>
    </row>
    <row r="129" spans="8:8">
      <c r="H129" t="s">
        <v>215</v>
      </c>
    </row>
    <row r="130" spans="8:8">
      <c r="H130" t="s">
        <v>216</v>
      </c>
    </row>
    <row r="131" spans="8:8">
      <c r="H131" t="s">
        <v>217</v>
      </c>
    </row>
    <row r="132" spans="8:8">
      <c r="H132" t="s">
        <v>218</v>
      </c>
    </row>
    <row r="133" spans="8:8">
      <c r="H133" t="s">
        <v>219</v>
      </c>
    </row>
    <row r="134" spans="8:8">
      <c r="H134" t="s">
        <v>220</v>
      </c>
    </row>
    <row r="135" spans="8:8">
      <c r="H135" t="s">
        <v>221</v>
      </c>
    </row>
    <row r="136" spans="8:8">
      <c r="H136" t="s">
        <v>222</v>
      </c>
    </row>
    <row r="137" spans="8:8">
      <c r="H137" t="s">
        <v>223</v>
      </c>
    </row>
    <row r="138" spans="8:8">
      <c r="H138" t="s">
        <v>224</v>
      </c>
    </row>
    <row r="139" spans="8:8">
      <c r="H139" t="s">
        <v>225</v>
      </c>
    </row>
    <row r="140" spans="8:8">
      <c r="H140" t="s">
        <v>226</v>
      </c>
    </row>
    <row r="141" spans="8:8">
      <c r="H141" t="s">
        <v>227</v>
      </c>
    </row>
    <row r="142" spans="8:8">
      <c r="H142" t="s">
        <v>228</v>
      </c>
    </row>
    <row r="143" spans="8:8">
      <c r="H143" t="s">
        <v>229</v>
      </c>
    </row>
    <row r="144" spans="8:8">
      <c r="H144" t="s">
        <v>230</v>
      </c>
    </row>
    <row r="145" spans="8:8">
      <c r="H145" t="s">
        <v>231</v>
      </c>
    </row>
    <row r="146" spans="8:8">
      <c r="H146" t="s">
        <v>232</v>
      </c>
    </row>
    <row r="147" spans="8:8">
      <c r="H147" t="s">
        <v>233</v>
      </c>
    </row>
    <row r="148" spans="8:8">
      <c r="H148" t="s">
        <v>234</v>
      </c>
    </row>
    <row r="149" spans="8:8">
      <c r="H149" t="s">
        <v>235</v>
      </c>
    </row>
    <row r="150" spans="8:8">
      <c r="H150" t="s">
        <v>236</v>
      </c>
    </row>
    <row r="151" spans="8:8">
      <c r="H151" t="s">
        <v>237</v>
      </c>
    </row>
    <row r="152" spans="8:8">
      <c r="H152" t="s">
        <v>238</v>
      </c>
    </row>
    <row r="153" spans="8:8">
      <c r="H153" t="s">
        <v>239</v>
      </c>
    </row>
    <row r="154" spans="8:8">
      <c r="H154" t="s">
        <v>240</v>
      </c>
    </row>
    <row r="155" spans="8:8">
      <c r="H155" t="s">
        <v>241</v>
      </c>
    </row>
    <row r="156" spans="8:8">
      <c r="H156" t="s">
        <v>242</v>
      </c>
    </row>
    <row r="157" spans="8:8">
      <c r="H157" t="s">
        <v>243</v>
      </c>
    </row>
    <row r="158" spans="8:8">
      <c r="H158" t="s">
        <v>244</v>
      </c>
    </row>
    <row r="159" spans="8:8">
      <c r="H159" t="s">
        <v>245</v>
      </c>
    </row>
    <row r="160" spans="8:8">
      <c r="H160" t="s">
        <v>246</v>
      </c>
    </row>
    <row r="161" spans="8:8">
      <c r="H161" t="s">
        <v>247</v>
      </c>
    </row>
    <row r="162" spans="8:8">
      <c r="H162" t="s">
        <v>248</v>
      </c>
    </row>
    <row r="163" spans="8:8">
      <c r="H163" t="s">
        <v>249</v>
      </c>
    </row>
    <row r="164" spans="8:8">
      <c r="H164" t="s">
        <v>250</v>
      </c>
    </row>
    <row r="165" spans="8:8">
      <c r="H165" t="s">
        <v>251</v>
      </c>
    </row>
    <row r="166" spans="8:8">
      <c r="H166" t="s">
        <v>252</v>
      </c>
    </row>
    <row r="167" spans="8:8">
      <c r="H167" t="s">
        <v>253</v>
      </c>
    </row>
    <row r="168" spans="8:8">
      <c r="H168" t="s">
        <v>254</v>
      </c>
    </row>
    <row r="169" spans="8:8">
      <c r="H169" t="s">
        <v>255</v>
      </c>
    </row>
    <row r="170" spans="8:8">
      <c r="H170" t="s">
        <v>256</v>
      </c>
    </row>
    <row r="171" spans="8:8">
      <c r="H171" t="s">
        <v>257</v>
      </c>
    </row>
    <row r="172" spans="8:8">
      <c r="H172" t="s">
        <v>258</v>
      </c>
    </row>
    <row r="173" spans="8:8">
      <c r="H173" t="s">
        <v>259</v>
      </c>
    </row>
    <row r="174" spans="8:8">
      <c r="H174" t="s">
        <v>260</v>
      </c>
    </row>
    <row r="175" spans="8:8">
      <c r="H175" t="s">
        <v>261</v>
      </c>
    </row>
    <row r="176" spans="8:8">
      <c r="H176" t="s">
        <v>262</v>
      </c>
    </row>
    <row r="177" spans="8:8">
      <c r="H177" t="s">
        <v>263</v>
      </c>
    </row>
    <row r="178" spans="8:8">
      <c r="H178" t="s">
        <v>264</v>
      </c>
    </row>
    <row r="179" spans="8:8">
      <c r="H179" t="s">
        <v>265</v>
      </c>
    </row>
    <row r="180" spans="8:8">
      <c r="H180" t="s">
        <v>266</v>
      </c>
    </row>
    <row r="181" spans="8:8">
      <c r="H181" t="s">
        <v>267</v>
      </c>
    </row>
    <row r="182" spans="8:8">
      <c r="H182" t="s">
        <v>268</v>
      </c>
    </row>
    <row r="183" spans="8:8">
      <c r="H183" t="s">
        <v>269</v>
      </c>
    </row>
    <row r="184" spans="8:8">
      <c r="H184" t="s">
        <v>270</v>
      </c>
    </row>
    <row r="185" spans="8:8">
      <c r="H185" t="s">
        <v>271</v>
      </c>
    </row>
    <row r="186" spans="8:8">
      <c r="H186" t="s">
        <v>272</v>
      </c>
    </row>
    <row r="187" spans="8:8">
      <c r="H187" t="s">
        <v>273</v>
      </c>
    </row>
    <row r="188" spans="8:8">
      <c r="H188" t="s">
        <v>274</v>
      </c>
    </row>
    <row r="189" spans="8:8">
      <c r="H189" t="s">
        <v>275</v>
      </c>
    </row>
    <row r="190" spans="8:8">
      <c r="H190" t="s">
        <v>276</v>
      </c>
    </row>
    <row r="191" spans="8:8">
      <c r="H191" t="s">
        <v>277</v>
      </c>
    </row>
    <row r="192" spans="8:8">
      <c r="H192" t="s">
        <v>278</v>
      </c>
    </row>
    <row r="193" spans="8:8">
      <c r="H193" t="s">
        <v>279</v>
      </c>
    </row>
    <row r="194" spans="8:8">
      <c r="H194" t="s">
        <v>280</v>
      </c>
    </row>
    <row r="195" spans="8:8">
      <c r="H195" t="s">
        <v>281</v>
      </c>
    </row>
    <row r="196" spans="8:8">
      <c r="H196" t="s">
        <v>282</v>
      </c>
    </row>
    <row r="197" spans="8:8">
      <c r="H197" t="s">
        <v>283</v>
      </c>
    </row>
    <row r="198" spans="8:8">
      <c r="H198" t="s">
        <v>284</v>
      </c>
    </row>
    <row r="199" spans="8:8">
      <c r="H199" t="s">
        <v>285</v>
      </c>
    </row>
    <row r="200" spans="8:8">
      <c r="H200" t="s">
        <v>286</v>
      </c>
    </row>
    <row r="201" spans="8:8">
      <c r="H201" t="s">
        <v>287</v>
      </c>
    </row>
    <row r="202" spans="8:8">
      <c r="H202" t="s">
        <v>288</v>
      </c>
    </row>
    <row r="203" spans="8:8">
      <c r="H203" t="s">
        <v>289</v>
      </c>
    </row>
    <row r="204" spans="8:8">
      <c r="H204" t="s">
        <v>290</v>
      </c>
    </row>
    <row r="205" spans="8:8">
      <c r="H205" t="s">
        <v>291</v>
      </c>
    </row>
    <row r="206" spans="8:8">
      <c r="H206" t="s">
        <v>292</v>
      </c>
    </row>
    <row r="207" spans="8:8">
      <c r="H207" t="s">
        <v>293</v>
      </c>
    </row>
    <row r="208" spans="8:8">
      <c r="H208" t="s">
        <v>294</v>
      </c>
    </row>
    <row r="209" spans="8:8">
      <c r="H209" t="s">
        <v>295</v>
      </c>
    </row>
    <row r="210" spans="8:8">
      <c r="H210" t="s">
        <v>296</v>
      </c>
    </row>
    <row r="211" spans="8:8">
      <c r="H211" t="s">
        <v>297</v>
      </c>
    </row>
  </sheetData>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9</vt:i4>
      </vt:variant>
    </vt:vector>
  </HeadingPairs>
  <TitlesOfParts>
    <vt:vector size="13" baseType="lpstr">
      <vt:lpstr>TIME SHEET</vt:lpstr>
      <vt:lpstr>TIME REPORT</vt:lpstr>
      <vt:lpstr>TIME REPORT O.T.</vt:lpstr>
      <vt:lpstr>HOLIDAYS</vt:lpstr>
      <vt:lpstr>'TIME SHEET'!COM</vt:lpstr>
      <vt:lpstr>'TIME SHEET'!list</vt:lpstr>
      <vt:lpstr>'TIME SHEET'!PER</vt:lpstr>
      <vt:lpstr>'TIME REPORT'!Print_Area</vt:lpstr>
      <vt:lpstr>'TIME REPORT O.T.'!Print_Area</vt:lpstr>
      <vt:lpstr>'TIME SHEET'!Print_Area</vt:lpstr>
      <vt:lpstr>'TIME REPORT'!Print_Titles</vt:lpstr>
      <vt:lpstr>'TIME REPORT O.T.'!Print_Titles</vt:lpstr>
      <vt:lpstr>'TIME SHEET'!YEAR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ธนธรณ์ สายวารี</dc:creator>
  <cp:lastModifiedBy>SAWAT JEAMBUNARK</cp:lastModifiedBy>
  <cp:lastPrinted>2026-09-30T07:57:39Z</cp:lastPrinted>
  <dcterms:created xsi:type="dcterms:W3CDTF">2024-03-14T06:36:39Z</dcterms:created>
  <dcterms:modified xsi:type="dcterms:W3CDTF">2026-09-30T08:19:02Z</dcterms:modified>
</cp:coreProperties>
</file>